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raul.silva\Downloads\"/>
    </mc:Choice>
  </mc:AlternateContent>
  <xr:revisionPtr revIDLastSave="0" documentId="8_{DF4DFC59-23E6-418E-8CAE-42BA5314B1AF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Procesos" sheetId="2" r:id="rId1"/>
    <sheet name="Part code" sheetId="3" r:id="rId2"/>
    <sheet name="Produccion" sheetId="5" r:id="rId3"/>
    <sheet name="Eventos de perdida" sheetId="1" r:id="rId4"/>
    <sheet name="Tipo de perdidas" sheetId="4" r:id="rId5"/>
  </sheets>
  <externalReferences>
    <externalReference r:id="rId6"/>
  </externalReferences>
  <definedNames>
    <definedName name="_xlnm._FilterDatabase" localSheetId="3" hidden="1">'Eventos de perdida'!$A$1:$L$101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8" i="5" l="1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F3" i="5"/>
  <c r="G3" i="5" s="1"/>
  <c r="I3" i="5" s="1"/>
  <c r="K3" i="5" s="1"/>
  <c r="F4" i="5"/>
  <c r="G4" i="5" s="1"/>
  <c r="I4" i="5" s="1"/>
  <c r="K4" i="5" s="1"/>
  <c r="F5" i="5"/>
  <c r="G5" i="5" s="1"/>
  <c r="I5" i="5" s="1"/>
  <c r="K5" i="5" s="1"/>
  <c r="F6" i="5"/>
  <c r="G6" i="5" s="1"/>
  <c r="I6" i="5" s="1"/>
  <c r="K6" i="5" s="1"/>
  <c r="F7" i="5"/>
  <c r="G7" i="5" s="1"/>
  <c r="I7" i="5" s="1"/>
  <c r="K7" i="5" s="1"/>
  <c r="F8" i="5"/>
  <c r="G8" i="5" s="1"/>
  <c r="I8" i="5" s="1"/>
  <c r="K8" i="5" s="1"/>
  <c r="F9" i="5"/>
  <c r="G9" i="5" s="1"/>
  <c r="I9" i="5" s="1"/>
  <c r="K9" i="5" s="1"/>
  <c r="F10" i="5"/>
  <c r="G10" i="5" s="1"/>
  <c r="I10" i="5" s="1"/>
  <c r="K10" i="5" s="1"/>
  <c r="F11" i="5"/>
  <c r="G11" i="5" s="1"/>
  <c r="I11" i="5" s="1"/>
  <c r="K11" i="5" s="1"/>
  <c r="F12" i="5"/>
  <c r="G12" i="5" s="1"/>
  <c r="I12" i="5" s="1"/>
  <c r="K12" i="5" s="1"/>
  <c r="F13" i="5"/>
  <c r="G13" i="5" s="1"/>
  <c r="I13" i="5" s="1"/>
  <c r="K13" i="5" s="1"/>
  <c r="F14" i="5"/>
  <c r="G14" i="5" s="1"/>
  <c r="I14" i="5" s="1"/>
  <c r="K14" i="5" s="1"/>
  <c r="F15" i="5"/>
  <c r="G15" i="5" s="1"/>
  <c r="I15" i="5" s="1"/>
  <c r="K15" i="5" s="1"/>
  <c r="F16" i="5"/>
  <c r="G16" i="5" s="1"/>
  <c r="I16" i="5" s="1"/>
  <c r="K16" i="5" s="1"/>
  <c r="F17" i="5"/>
  <c r="G17" i="5" s="1"/>
  <c r="I17" i="5" s="1"/>
  <c r="K17" i="5" s="1"/>
  <c r="F18" i="5"/>
  <c r="G18" i="5" s="1"/>
  <c r="I18" i="5" s="1"/>
  <c r="K18" i="5" s="1"/>
  <c r="F19" i="5"/>
  <c r="G19" i="5" s="1"/>
  <c r="I19" i="5" s="1"/>
  <c r="K19" i="5" s="1"/>
  <c r="F20" i="5"/>
  <c r="G20" i="5" s="1"/>
  <c r="I20" i="5" s="1"/>
  <c r="K20" i="5" s="1"/>
  <c r="F21" i="5"/>
  <c r="G21" i="5" s="1"/>
  <c r="I21" i="5" s="1"/>
  <c r="K21" i="5" s="1"/>
  <c r="F22" i="5"/>
  <c r="G22" i="5" s="1"/>
  <c r="I22" i="5" s="1"/>
  <c r="K22" i="5" s="1"/>
  <c r="F23" i="5"/>
  <c r="G23" i="5" s="1"/>
  <c r="I23" i="5" s="1"/>
  <c r="K23" i="5" s="1"/>
  <c r="F24" i="5"/>
  <c r="G24" i="5" s="1"/>
  <c r="I24" i="5" s="1"/>
  <c r="K24" i="5" s="1"/>
  <c r="F25" i="5"/>
  <c r="G25" i="5" s="1"/>
  <c r="I25" i="5" s="1"/>
  <c r="K25" i="5" s="1"/>
  <c r="F26" i="5"/>
  <c r="G26" i="5" s="1"/>
  <c r="I26" i="5" s="1"/>
  <c r="K26" i="5" s="1"/>
  <c r="F27" i="5"/>
  <c r="G27" i="5" s="1"/>
  <c r="I27" i="5" s="1"/>
  <c r="K27" i="5" s="1"/>
  <c r="F28" i="5"/>
  <c r="G28" i="5" s="1"/>
  <c r="I28" i="5" s="1"/>
  <c r="K28" i="5" s="1"/>
  <c r="F29" i="5"/>
  <c r="G29" i="5" s="1"/>
  <c r="I29" i="5" s="1"/>
  <c r="K29" i="5" s="1"/>
  <c r="F30" i="5"/>
  <c r="G30" i="5" s="1"/>
  <c r="I30" i="5" s="1"/>
  <c r="K30" i="5" s="1"/>
  <c r="F31" i="5"/>
  <c r="G31" i="5" s="1"/>
  <c r="I31" i="5" s="1"/>
  <c r="K31" i="5" s="1"/>
  <c r="F32" i="5"/>
  <c r="G32" i="5" s="1"/>
  <c r="I32" i="5" s="1"/>
  <c r="K32" i="5" s="1"/>
  <c r="F33" i="5"/>
  <c r="G33" i="5" s="1"/>
  <c r="I33" i="5" s="1"/>
  <c r="K33" i="5" s="1"/>
  <c r="F34" i="5"/>
  <c r="G34" i="5" s="1"/>
  <c r="I34" i="5" s="1"/>
  <c r="K34" i="5" s="1"/>
  <c r="F35" i="5"/>
  <c r="G35" i="5" s="1"/>
  <c r="I35" i="5" s="1"/>
  <c r="K35" i="5" s="1"/>
  <c r="F36" i="5"/>
  <c r="G36" i="5" s="1"/>
  <c r="I36" i="5" s="1"/>
  <c r="K36" i="5" s="1"/>
  <c r="F37" i="5"/>
  <c r="G37" i="5" s="1"/>
  <c r="I37" i="5" s="1"/>
  <c r="K37" i="5" s="1"/>
  <c r="F38" i="5"/>
  <c r="G38" i="5" s="1"/>
  <c r="I38" i="5" s="1"/>
  <c r="K38" i="5" s="1"/>
  <c r="F39" i="5"/>
  <c r="G39" i="5" s="1"/>
  <c r="I39" i="5" s="1"/>
  <c r="K39" i="5" s="1"/>
  <c r="F40" i="5"/>
  <c r="G40" i="5" s="1"/>
  <c r="I40" i="5" s="1"/>
  <c r="K40" i="5" s="1"/>
  <c r="F41" i="5"/>
  <c r="G41" i="5" s="1"/>
  <c r="I41" i="5" s="1"/>
  <c r="K41" i="5" s="1"/>
  <c r="F42" i="5"/>
  <c r="G42" i="5" s="1"/>
  <c r="I42" i="5" s="1"/>
  <c r="K42" i="5" s="1"/>
  <c r="F43" i="5"/>
  <c r="G43" i="5" s="1"/>
  <c r="I43" i="5" s="1"/>
  <c r="K43" i="5" s="1"/>
  <c r="F44" i="5"/>
  <c r="G44" i="5" s="1"/>
  <c r="I44" i="5" s="1"/>
  <c r="K44" i="5" s="1"/>
  <c r="F45" i="5"/>
  <c r="G45" i="5" s="1"/>
  <c r="I45" i="5" s="1"/>
  <c r="K45" i="5" s="1"/>
  <c r="F46" i="5"/>
  <c r="G46" i="5" s="1"/>
  <c r="I46" i="5" s="1"/>
  <c r="K46" i="5" s="1"/>
  <c r="F47" i="5"/>
  <c r="G47" i="5" s="1"/>
  <c r="I47" i="5" s="1"/>
  <c r="K47" i="5" s="1"/>
  <c r="F48" i="5"/>
  <c r="G48" i="5" s="1"/>
  <c r="I48" i="5" s="1"/>
  <c r="K48" i="5" s="1"/>
  <c r="F49" i="5"/>
  <c r="G49" i="5" s="1"/>
  <c r="I49" i="5" s="1"/>
  <c r="K49" i="5" s="1"/>
  <c r="F50" i="5"/>
  <c r="G50" i="5" s="1"/>
  <c r="I50" i="5" s="1"/>
  <c r="K50" i="5" s="1"/>
  <c r="F51" i="5"/>
  <c r="G51" i="5" s="1"/>
  <c r="I51" i="5" s="1"/>
  <c r="K51" i="5" s="1"/>
  <c r="F52" i="5"/>
  <c r="G52" i="5" s="1"/>
  <c r="I52" i="5" s="1"/>
  <c r="K52" i="5" s="1"/>
  <c r="F53" i="5"/>
  <c r="G53" i="5" s="1"/>
  <c r="I53" i="5" s="1"/>
  <c r="K53" i="5" s="1"/>
  <c r="F54" i="5"/>
  <c r="G54" i="5" s="1"/>
  <c r="I54" i="5" s="1"/>
  <c r="K54" i="5" s="1"/>
  <c r="F55" i="5"/>
  <c r="G55" i="5" s="1"/>
  <c r="I55" i="5" s="1"/>
  <c r="K55" i="5" s="1"/>
  <c r="F56" i="5"/>
  <c r="G56" i="5" s="1"/>
  <c r="I56" i="5" s="1"/>
  <c r="K56" i="5" s="1"/>
  <c r="F57" i="5"/>
  <c r="G57" i="5" s="1"/>
  <c r="I57" i="5" s="1"/>
  <c r="K57" i="5" s="1"/>
  <c r="F58" i="5"/>
  <c r="G58" i="5" s="1"/>
  <c r="I58" i="5" s="1"/>
  <c r="K58" i="5" s="1"/>
  <c r="F59" i="5"/>
  <c r="G59" i="5" s="1"/>
  <c r="I59" i="5" s="1"/>
  <c r="K59" i="5" s="1"/>
  <c r="F60" i="5"/>
  <c r="G60" i="5" s="1"/>
  <c r="I60" i="5" s="1"/>
  <c r="K60" i="5" s="1"/>
  <c r="F61" i="5"/>
  <c r="G61" i="5" s="1"/>
  <c r="I61" i="5" s="1"/>
  <c r="K61" i="5" s="1"/>
  <c r="F62" i="5"/>
  <c r="G62" i="5" s="1"/>
  <c r="I62" i="5" s="1"/>
  <c r="K62" i="5" s="1"/>
  <c r="F63" i="5"/>
  <c r="G63" i="5" s="1"/>
  <c r="I63" i="5" s="1"/>
  <c r="K63" i="5" s="1"/>
  <c r="F64" i="5"/>
  <c r="G64" i="5" s="1"/>
  <c r="I64" i="5" s="1"/>
  <c r="K64" i="5" s="1"/>
  <c r="F65" i="5"/>
  <c r="G65" i="5" s="1"/>
  <c r="I65" i="5" s="1"/>
  <c r="K65" i="5" s="1"/>
  <c r="F66" i="5"/>
  <c r="G66" i="5" s="1"/>
  <c r="I66" i="5" s="1"/>
  <c r="K66" i="5" s="1"/>
  <c r="F67" i="5"/>
  <c r="G67" i="5" s="1"/>
  <c r="I67" i="5" s="1"/>
  <c r="K67" i="5" s="1"/>
  <c r="F68" i="5"/>
  <c r="G68" i="5" s="1"/>
  <c r="I68" i="5" s="1"/>
  <c r="K68" i="5" s="1"/>
  <c r="F69" i="5"/>
  <c r="G69" i="5" s="1"/>
  <c r="I69" i="5" s="1"/>
  <c r="K69" i="5" s="1"/>
  <c r="F70" i="5"/>
  <c r="G70" i="5" s="1"/>
  <c r="I70" i="5" s="1"/>
  <c r="K70" i="5" s="1"/>
  <c r="F71" i="5"/>
  <c r="G71" i="5" s="1"/>
  <c r="I71" i="5" s="1"/>
  <c r="K71" i="5" s="1"/>
  <c r="F72" i="5"/>
  <c r="G72" i="5" s="1"/>
  <c r="I72" i="5" s="1"/>
  <c r="K72" i="5" s="1"/>
  <c r="F73" i="5"/>
  <c r="G73" i="5" s="1"/>
  <c r="I73" i="5" s="1"/>
  <c r="K73" i="5" s="1"/>
  <c r="F74" i="5"/>
  <c r="G74" i="5" s="1"/>
  <c r="I74" i="5" s="1"/>
  <c r="K74" i="5" s="1"/>
  <c r="F75" i="5"/>
  <c r="G75" i="5" s="1"/>
  <c r="I75" i="5" s="1"/>
  <c r="K75" i="5" s="1"/>
  <c r="F76" i="5"/>
  <c r="G76" i="5" s="1"/>
  <c r="I76" i="5" s="1"/>
  <c r="K76" i="5" s="1"/>
  <c r="F77" i="5"/>
  <c r="G77" i="5" s="1"/>
  <c r="I77" i="5" s="1"/>
  <c r="K77" i="5" s="1"/>
  <c r="F78" i="5"/>
  <c r="G78" i="5" s="1"/>
  <c r="I78" i="5" s="1"/>
  <c r="K78" i="5" s="1"/>
  <c r="F79" i="5"/>
  <c r="G79" i="5" s="1"/>
  <c r="I79" i="5" s="1"/>
  <c r="K79" i="5" s="1"/>
  <c r="F80" i="5"/>
  <c r="G80" i="5" s="1"/>
  <c r="I80" i="5" s="1"/>
  <c r="K80" i="5" s="1"/>
  <c r="F81" i="5"/>
  <c r="G81" i="5" s="1"/>
  <c r="I81" i="5" s="1"/>
  <c r="K81" i="5" s="1"/>
  <c r="F82" i="5"/>
  <c r="G82" i="5" s="1"/>
  <c r="I82" i="5" s="1"/>
  <c r="K82" i="5" s="1"/>
  <c r="F83" i="5"/>
  <c r="G83" i="5" s="1"/>
  <c r="I83" i="5" s="1"/>
  <c r="K83" i="5" s="1"/>
  <c r="F84" i="5"/>
  <c r="G84" i="5" s="1"/>
  <c r="I84" i="5" s="1"/>
  <c r="K84" i="5" s="1"/>
  <c r="F85" i="5"/>
  <c r="G85" i="5" s="1"/>
  <c r="I85" i="5" s="1"/>
  <c r="K85" i="5" s="1"/>
  <c r="F86" i="5"/>
  <c r="G86" i="5" s="1"/>
  <c r="I86" i="5" s="1"/>
  <c r="K86" i="5" s="1"/>
  <c r="F87" i="5"/>
  <c r="G87" i="5" s="1"/>
  <c r="I87" i="5" s="1"/>
  <c r="K87" i="5" s="1"/>
  <c r="F88" i="5"/>
  <c r="G88" i="5" s="1"/>
  <c r="I88" i="5" s="1"/>
  <c r="K88" i="5" s="1"/>
  <c r="F89" i="5"/>
  <c r="G89" i="5" s="1"/>
  <c r="I89" i="5" s="1"/>
  <c r="K89" i="5" s="1"/>
  <c r="F90" i="5"/>
  <c r="G90" i="5" s="1"/>
  <c r="I90" i="5" s="1"/>
  <c r="K90" i="5" s="1"/>
  <c r="F91" i="5"/>
  <c r="G91" i="5" s="1"/>
  <c r="I91" i="5" s="1"/>
  <c r="K91" i="5" s="1"/>
  <c r="F92" i="5"/>
  <c r="G92" i="5" s="1"/>
  <c r="I92" i="5" s="1"/>
  <c r="K92" i="5" s="1"/>
  <c r="F93" i="5"/>
  <c r="G93" i="5" s="1"/>
  <c r="I93" i="5" s="1"/>
  <c r="K93" i="5" s="1"/>
  <c r="F94" i="5"/>
  <c r="G94" i="5" s="1"/>
  <c r="I94" i="5" s="1"/>
  <c r="K94" i="5" s="1"/>
  <c r="F95" i="5"/>
  <c r="G95" i="5" s="1"/>
  <c r="I95" i="5" s="1"/>
  <c r="K95" i="5" s="1"/>
  <c r="F96" i="5"/>
  <c r="G96" i="5" s="1"/>
  <c r="I96" i="5" s="1"/>
  <c r="K96" i="5" s="1"/>
  <c r="F97" i="5"/>
  <c r="G97" i="5" s="1"/>
  <c r="I97" i="5" s="1"/>
  <c r="K97" i="5" s="1"/>
  <c r="F98" i="5"/>
  <c r="G98" i="5" s="1"/>
  <c r="I98" i="5" s="1"/>
  <c r="K98" i="5" s="1"/>
  <c r="F99" i="5"/>
  <c r="G99" i="5" s="1"/>
  <c r="I99" i="5" s="1"/>
  <c r="K99" i="5" s="1"/>
  <c r="F100" i="5"/>
  <c r="G100" i="5" s="1"/>
  <c r="I100" i="5" s="1"/>
  <c r="K100" i="5" s="1"/>
  <c r="F101" i="5"/>
  <c r="G101" i="5" s="1"/>
  <c r="I101" i="5" s="1"/>
  <c r="K101" i="5" s="1"/>
  <c r="F102" i="5"/>
  <c r="G102" i="5" s="1"/>
  <c r="I102" i="5" s="1"/>
  <c r="K102" i="5" s="1"/>
  <c r="F103" i="5"/>
  <c r="G103" i="5" s="1"/>
  <c r="I103" i="5" s="1"/>
  <c r="K103" i="5" s="1"/>
  <c r="F104" i="5"/>
  <c r="G104" i="5" s="1"/>
  <c r="I104" i="5" s="1"/>
  <c r="K104" i="5" s="1"/>
  <c r="F105" i="5"/>
  <c r="G105" i="5" s="1"/>
  <c r="I105" i="5" s="1"/>
  <c r="K105" i="5" s="1"/>
  <c r="F106" i="5"/>
  <c r="G106" i="5" s="1"/>
  <c r="I106" i="5" s="1"/>
  <c r="K106" i="5" s="1"/>
  <c r="F107" i="5"/>
  <c r="G107" i="5" s="1"/>
  <c r="I107" i="5" s="1"/>
  <c r="K107" i="5" s="1"/>
  <c r="F108" i="5"/>
  <c r="G108" i="5" s="1"/>
  <c r="I108" i="5" s="1"/>
  <c r="K108" i="5" s="1"/>
  <c r="F109" i="5"/>
  <c r="G109" i="5" s="1"/>
  <c r="I109" i="5" s="1"/>
  <c r="K109" i="5" s="1"/>
  <c r="F110" i="5"/>
  <c r="G110" i="5" s="1"/>
  <c r="I110" i="5" s="1"/>
  <c r="K110" i="5" s="1"/>
  <c r="F111" i="5"/>
  <c r="G111" i="5" s="1"/>
  <c r="I111" i="5" s="1"/>
  <c r="K111" i="5" s="1"/>
  <c r="F112" i="5"/>
  <c r="G112" i="5" s="1"/>
  <c r="I112" i="5" s="1"/>
  <c r="K112" i="5" s="1"/>
  <c r="F113" i="5"/>
  <c r="G113" i="5" s="1"/>
  <c r="I113" i="5" s="1"/>
  <c r="K113" i="5" s="1"/>
  <c r="F114" i="5"/>
  <c r="G114" i="5" s="1"/>
  <c r="I114" i="5" s="1"/>
  <c r="K114" i="5" s="1"/>
  <c r="F115" i="5"/>
  <c r="G115" i="5" s="1"/>
  <c r="I115" i="5" s="1"/>
  <c r="K115" i="5" s="1"/>
  <c r="F116" i="5"/>
  <c r="G116" i="5" s="1"/>
  <c r="I116" i="5" s="1"/>
  <c r="K116" i="5" s="1"/>
  <c r="F117" i="5"/>
  <c r="G117" i="5" s="1"/>
  <c r="I117" i="5" s="1"/>
  <c r="K117" i="5" s="1"/>
  <c r="F118" i="5"/>
  <c r="G118" i="5" s="1"/>
  <c r="I118" i="5" s="1"/>
  <c r="K118" i="5" s="1"/>
  <c r="F119" i="5"/>
  <c r="G119" i="5" s="1"/>
  <c r="I119" i="5" s="1"/>
  <c r="K119" i="5" s="1"/>
  <c r="F120" i="5"/>
  <c r="G120" i="5" s="1"/>
  <c r="I120" i="5" s="1"/>
  <c r="K120" i="5" s="1"/>
  <c r="F121" i="5"/>
  <c r="G121" i="5" s="1"/>
  <c r="I121" i="5" s="1"/>
  <c r="K121" i="5" s="1"/>
  <c r="F122" i="5"/>
  <c r="G122" i="5" s="1"/>
  <c r="I122" i="5" s="1"/>
  <c r="K122" i="5" s="1"/>
  <c r="F123" i="5"/>
  <c r="G123" i="5" s="1"/>
  <c r="I123" i="5" s="1"/>
  <c r="K123" i="5" s="1"/>
  <c r="F124" i="5"/>
  <c r="G124" i="5" s="1"/>
  <c r="I124" i="5" s="1"/>
  <c r="K124" i="5" s="1"/>
  <c r="F125" i="5"/>
  <c r="G125" i="5" s="1"/>
  <c r="I125" i="5" s="1"/>
  <c r="K125" i="5" s="1"/>
  <c r="F126" i="5"/>
  <c r="G126" i="5" s="1"/>
  <c r="I126" i="5" s="1"/>
  <c r="K126" i="5" s="1"/>
  <c r="F127" i="5"/>
  <c r="G127" i="5" s="1"/>
  <c r="I127" i="5" s="1"/>
  <c r="K127" i="5" s="1"/>
  <c r="F128" i="5"/>
  <c r="G128" i="5" s="1"/>
  <c r="I128" i="5" s="1"/>
  <c r="K128" i="5" s="1"/>
  <c r="F129" i="5"/>
  <c r="G129" i="5" s="1"/>
  <c r="I129" i="5" s="1"/>
  <c r="K129" i="5" s="1"/>
  <c r="F130" i="5"/>
  <c r="G130" i="5" s="1"/>
  <c r="I130" i="5" s="1"/>
  <c r="K130" i="5" s="1"/>
  <c r="F131" i="5"/>
  <c r="G131" i="5" s="1"/>
  <c r="I131" i="5" s="1"/>
  <c r="K131" i="5" s="1"/>
  <c r="F132" i="5"/>
  <c r="G132" i="5" s="1"/>
  <c r="I132" i="5" s="1"/>
  <c r="K132" i="5" s="1"/>
  <c r="F133" i="5"/>
  <c r="G133" i="5" s="1"/>
  <c r="I133" i="5" s="1"/>
  <c r="K133" i="5" s="1"/>
  <c r="F134" i="5"/>
  <c r="G134" i="5" s="1"/>
  <c r="I134" i="5" s="1"/>
  <c r="K134" i="5" s="1"/>
  <c r="F135" i="5"/>
  <c r="G135" i="5" s="1"/>
  <c r="I135" i="5" s="1"/>
  <c r="K135" i="5" s="1"/>
  <c r="F136" i="5"/>
  <c r="G136" i="5" s="1"/>
  <c r="I136" i="5" s="1"/>
  <c r="K136" i="5" s="1"/>
  <c r="F137" i="5"/>
  <c r="G137" i="5" s="1"/>
  <c r="I137" i="5" s="1"/>
  <c r="K137" i="5" s="1"/>
  <c r="F138" i="5"/>
  <c r="G138" i="5" s="1"/>
  <c r="I138" i="5" s="1"/>
  <c r="K138" i="5" s="1"/>
  <c r="F139" i="5"/>
  <c r="G139" i="5" s="1"/>
  <c r="I139" i="5" s="1"/>
  <c r="K139" i="5" s="1"/>
  <c r="F140" i="5"/>
  <c r="G140" i="5" s="1"/>
  <c r="I140" i="5" s="1"/>
  <c r="K140" i="5" s="1"/>
  <c r="F141" i="5"/>
  <c r="G141" i="5" s="1"/>
  <c r="I141" i="5" s="1"/>
  <c r="K141" i="5" s="1"/>
  <c r="F142" i="5"/>
  <c r="G142" i="5" s="1"/>
  <c r="I142" i="5" s="1"/>
  <c r="K142" i="5" s="1"/>
  <c r="F143" i="5"/>
  <c r="G143" i="5" s="1"/>
  <c r="I143" i="5" s="1"/>
  <c r="K143" i="5" s="1"/>
  <c r="F144" i="5"/>
  <c r="G144" i="5" s="1"/>
  <c r="I144" i="5" s="1"/>
  <c r="K144" i="5" s="1"/>
  <c r="F145" i="5"/>
  <c r="G145" i="5" s="1"/>
  <c r="I145" i="5" s="1"/>
  <c r="K145" i="5" s="1"/>
  <c r="F146" i="5"/>
  <c r="G146" i="5" s="1"/>
  <c r="I146" i="5" s="1"/>
  <c r="K146" i="5" s="1"/>
  <c r="F147" i="5"/>
  <c r="G147" i="5" s="1"/>
  <c r="I147" i="5" s="1"/>
  <c r="K147" i="5" s="1"/>
  <c r="F148" i="5"/>
  <c r="G148" i="5" s="1"/>
  <c r="I148" i="5" s="1"/>
  <c r="K148" i="5" s="1"/>
  <c r="F149" i="5"/>
  <c r="G149" i="5" s="1"/>
  <c r="I149" i="5" s="1"/>
  <c r="K149" i="5" s="1"/>
  <c r="F150" i="5"/>
  <c r="G150" i="5" s="1"/>
  <c r="I150" i="5" s="1"/>
  <c r="K150" i="5" s="1"/>
  <c r="F151" i="5"/>
  <c r="G151" i="5" s="1"/>
  <c r="I151" i="5" s="1"/>
  <c r="K151" i="5" s="1"/>
  <c r="F152" i="5"/>
  <c r="G152" i="5" s="1"/>
  <c r="I152" i="5" s="1"/>
  <c r="K152" i="5" s="1"/>
  <c r="F153" i="5"/>
  <c r="G153" i="5" s="1"/>
  <c r="I153" i="5" s="1"/>
  <c r="K153" i="5" s="1"/>
  <c r="F154" i="5"/>
  <c r="G154" i="5" s="1"/>
  <c r="I154" i="5" s="1"/>
  <c r="K154" i="5" s="1"/>
  <c r="F155" i="5"/>
  <c r="G155" i="5" s="1"/>
  <c r="I155" i="5" s="1"/>
  <c r="K155" i="5" s="1"/>
  <c r="F156" i="5"/>
  <c r="G156" i="5" s="1"/>
  <c r="I156" i="5" s="1"/>
  <c r="K156" i="5" s="1"/>
  <c r="F157" i="5"/>
  <c r="G157" i="5" s="1"/>
  <c r="I157" i="5" s="1"/>
  <c r="K157" i="5" s="1"/>
  <c r="F158" i="5"/>
  <c r="G158" i="5" s="1"/>
  <c r="I158" i="5" s="1"/>
  <c r="K158" i="5" s="1"/>
  <c r="F159" i="5"/>
  <c r="G159" i="5" s="1"/>
  <c r="I159" i="5" s="1"/>
  <c r="K159" i="5" s="1"/>
  <c r="F160" i="5"/>
  <c r="G160" i="5" s="1"/>
  <c r="I160" i="5" s="1"/>
  <c r="K160" i="5" s="1"/>
  <c r="F161" i="5"/>
  <c r="G161" i="5" s="1"/>
  <c r="I161" i="5" s="1"/>
  <c r="K161" i="5" s="1"/>
  <c r="F162" i="5"/>
  <c r="G162" i="5" s="1"/>
  <c r="I162" i="5" s="1"/>
  <c r="K162" i="5" s="1"/>
  <c r="F163" i="5"/>
  <c r="G163" i="5" s="1"/>
  <c r="I163" i="5" s="1"/>
  <c r="K163" i="5" s="1"/>
  <c r="F164" i="5"/>
  <c r="G164" i="5" s="1"/>
  <c r="I164" i="5" s="1"/>
  <c r="K164" i="5" s="1"/>
  <c r="F165" i="5"/>
  <c r="G165" i="5" s="1"/>
  <c r="I165" i="5" s="1"/>
  <c r="K165" i="5" s="1"/>
  <c r="F166" i="5"/>
  <c r="G166" i="5" s="1"/>
  <c r="I166" i="5" s="1"/>
  <c r="K166" i="5" s="1"/>
  <c r="F167" i="5"/>
  <c r="G167" i="5" s="1"/>
  <c r="I167" i="5" s="1"/>
  <c r="K167" i="5" s="1"/>
  <c r="F168" i="5"/>
  <c r="G168" i="5" s="1"/>
  <c r="I168" i="5" s="1"/>
  <c r="K168" i="5" s="1"/>
  <c r="F169" i="5"/>
  <c r="G169" i="5" s="1"/>
  <c r="I169" i="5" s="1"/>
  <c r="K169" i="5" s="1"/>
  <c r="F170" i="5"/>
  <c r="G170" i="5" s="1"/>
  <c r="I170" i="5" s="1"/>
  <c r="K170" i="5" s="1"/>
  <c r="F171" i="5"/>
  <c r="G171" i="5" s="1"/>
  <c r="I171" i="5" s="1"/>
  <c r="K171" i="5" s="1"/>
  <c r="F172" i="5"/>
  <c r="G172" i="5" s="1"/>
  <c r="I172" i="5" s="1"/>
  <c r="K172" i="5" s="1"/>
  <c r="F173" i="5"/>
  <c r="G173" i="5" s="1"/>
  <c r="I173" i="5" s="1"/>
  <c r="K173" i="5" s="1"/>
  <c r="F174" i="5"/>
  <c r="G174" i="5" s="1"/>
  <c r="I174" i="5" s="1"/>
  <c r="K174" i="5" s="1"/>
  <c r="F175" i="5"/>
  <c r="G175" i="5" s="1"/>
  <c r="I175" i="5" s="1"/>
  <c r="K175" i="5" s="1"/>
  <c r="F176" i="5"/>
  <c r="G176" i="5" s="1"/>
  <c r="I176" i="5" s="1"/>
  <c r="K176" i="5" s="1"/>
  <c r="F177" i="5"/>
  <c r="G177" i="5" s="1"/>
  <c r="I177" i="5" s="1"/>
  <c r="K177" i="5" s="1"/>
  <c r="F178" i="5"/>
  <c r="G178" i="5" s="1"/>
  <c r="I178" i="5" s="1"/>
  <c r="K178" i="5" s="1"/>
  <c r="F179" i="5"/>
  <c r="G179" i="5" s="1"/>
  <c r="I179" i="5" s="1"/>
  <c r="K179" i="5" s="1"/>
  <c r="F180" i="5"/>
  <c r="G180" i="5" s="1"/>
  <c r="I180" i="5" s="1"/>
  <c r="K180" i="5" s="1"/>
  <c r="F181" i="5"/>
  <c r="G181" i="5" s="1"/>
  <c r="I181" i="5" s="1"/>
  <c r="K181" i="5" s="1"/>
  <c r="F182" i="5"/>
  <c r="G182" i="5" s="1"/>
  <c r="I182" i="5" s="1"/>
  <c r="K182" i="5" s="1"/>
  <c r="F183" i="5"/>
  <c r="G183" i="5" s="1"/>
  <c r="I183" i="5" s="1"/>
  <c r="K183" i="5" s="1"/>
  <c r="F184" i="5"/>
  <c r="G184" i="5" s="1"/>
  <c r="I184" i="5" s="1"/>
  <c r="K184" i="5" s="1"/>
  <c r="F185" i="5"/>
  <c r="G185" i="5" s="1"/>
  <c r="I185" i="5" s="1"/>
  <c r="K185" i="5" s="1"/>
  <c r="F186" i="5"/>
  <c r="G186" i="5" s="1"/>
  <c r="I186" i="5" s="1"/>
  <c r="K186" i="5" s="1"/>
  <c r="F187" i="5"/>
  <c r="G187" i="5" s="1"/>
  <c r="I187" i="5" s="1"/>
  <c r="K187" i="5" s="1"/>
  <c r="F188" i="5"/>
  <c r="G188" i="5" s="1"/>
  <c r="I188" i="5" s="1"/>
  <c r="K188" i="5" s="1"/>
  <c r="F189" i="5"/>
  <c r="G189" i="5" s="1"/>
  <c r="I189" i="5" s="1"/>
  <c r="K189" i="5" s="1"/>
  <c r="F190" i="5"/>
  <c r="G190" i="5" s="1"/>
  <c r="I190" i="5" s="1"/>
  <c r="K190" i="5" s="1"/>
  <c r="F191" i="5"/>
  <c r="G191" i="5" s="1"/>
  <c r="I191" i="5" s="1"/>
  <c r="K191" i="5" s="1"/>
  <c r="F192" i="5"/>
  <c r="G192" i="5" s="1"/>
  <c r="I192" i="5" s="1"/>
  <c r="K192" i="5" s="1"/>
  <c r="F193" i="5"/>
  <c r="G193" i="5" s="1"/>
  <c r="I193" i="5" s="1"/>
  <c r="K193" i="5" s="1"/>
  <c r="F194" i="5"/>
  <c r="G194" i="5" s="1"/>
  <c r="I194" i="5" s="1"/>
  <c r="K194" i="5" s="1"/>
  <c r="F195" i="5"/>
  <c r="G195" i="5" s="1"/>
  <c r="I195" i="5" s="1"/>
  <c r="K195" i="5" s="1"/>
  <c r="F196" i="5"/>
  <c r="G196" i="5" s="1"/>
  <c r="I196" i="5" s="1"/>
  <c r="K196" i="5" s="1"/>
  <c r="F197" i="5"/>
  <c r="G197" i="5" s="1"/>
  <c r="I197" i="5" s="1"/>
  <c r="K197" i="5" s="1"/>
  <c r="F198" i="5"/>
  <c r="G198" i="5" s="1"/>
  <c r="I198" i="5" s="1"/>
  <c r="K198" i="5" s="1"/>
  <c r="F199" i="5"/>
  <c r="G199" i="5" s="1"/>
  <c r="I199" i="5" s="1"/>
  <c r="K199" i="5" s="1"/>
  <c r="F200" i="5"/>
  <c r="G200" i="5" s="1"/>
  <c r="I200" i="5" s="1"/>
  <c r="K200" i="5" s="1"/>
  <c r="F201" i="5"/>
  <c r="G201" i="5" s="1"/>
  <c r="I201" i="5" s="1"/>
  <c r="K201" i="5" s="1"/>
  <c r="F202" i="5"/>
  <c r="G202" i="5" s="1"/>
  <c r="I202" i="5" s="1"/>
  <c r="K202" i="5" s="1"/>
  <c r="F203" i="5"/>
  <c r="G203" i="5" s="1"/>
  <c r="I203" i="5" s="1"/>
  <c r="K203" i="5" s="1"/>
  <c r="F204" i="5"/>
  <c r="G204" i="5" s="1"/>
  <c r="I204" i="5" s="1"/>
  <c r="K204" i="5" s="1"/>
  <c r="F205" i="5"/>
  <c r="G205" i="5" s="1"/>
  <c r="I205" i="5" s="1"/>
  <c r="K205" i="5" s="1"/>
  <c r="F206" i="5"/>
  <c r="G206" i="5" s="1"/>
  <c r="I206" i="5" s="1"/>
  <c r="K206" i="5" s="1"/>
  <c r="F207" i="5"/>
  <c r="G207" i="5" s="1"/>
  <c r="I207" i="5" s="1"/>
  <c r="K207" i="5" s="1"/>
  <c r="F208" i="5"/>
  <c r="G208" i="5" s="1"/>
  <c r="I208" i="5" s="1"/>
  <c r="K208" i="5" s="1"/>
  <c r="F2" i="5"/>
  <c r="G2" i="5" s="1"/>
  <c r="I2" i="5" s="1"/>
  <c r="K2" i="5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sharedStrings.xml><?xml version="1.0" encoding="utf-8"?>
<sst xmlns="http://schemas.openxmlformats.org/spreadsheetml/2006/main" count="1017" uniqueCount="73">
  <si>
    <t>Machine</t>
  </si>
  <si>
    <t>Process</t>
  </si>
  <si>
    <t>Load A</t>
  </si>
  <si>
    <t>Process A</t>
  </si>
  <si>
    <t>Main A</t>
  </si>
  <si>
    <t>Transfer A</t>
  </si>
  <si>
    <t>Unload A</t>
  </si>
  <si>
    <t>Load B</t>
  </si>
  <si>
    <t>Process B</t>
  </si>
  <si>
    <t>Main B1</t>
  </si>
  <si>
    <t>Main B2</t>
  </si>
  <si>
    <t>Transfer B</t>
  </si>
  <si>
    <t>Unload B</t>
  </si>
  <si>
    <t>Load C</t>
  </si>
  <si>
    <t>Process C</t>
  </si>
  <si>
    <t>Main C</t>
  </si>
  <si>
    <t>Transfer C</t>
  </si>
  <si>
    <t>Unload C</t>
  </si>
  <si>
    <t>Part code</t>
  </si>
  <si>
    <t>Descripcion</t>
  </si>
  <si>
    <t>Design Cycle time (min)</t>
  </si>
  <si>
    <t>$ LOSS per unit</t>
  </si>
  <si>
    <t>COSTO del retrabajo</t>
  </si>
  <si>
    <t>Cab123</t>
  </si>
  <si>
    <t>Gabinete 123</t>
  </si>
  <si>
    <t>Cab456</t>
  </si>
  <si>
    <t>Gabinete 456</t>
  </si>
  <si>
    <t>Door78</t>
  </si>
  <si>
    <t>Main door</t>
  </si>
  <si>
    <t>Door89</t>
  </si>
  <si>
    <t>Freezer door</t>
  </si>
  <si>
    <t>Com1</t>
  </si>
  <si>
    <t>Compressor 1</t>
  </si>
  <si>
    <t>Com2</t>
  </si>
  <si>
    <t>Compressor 2</t>
  </si>
  <si>
    <t>Date</t>
  </si>
  <si>
    <t>Shift</t>
  </si>
  <si>
    <t>Part number</t>
  </si>
  <si>
    <t>Proceso</t>
  </si>
  <si>
    <t>Planned minutes</t>
  </si>
  <si>
    <t>Total downtime</t>
  </si>
  <si>
    <t>Operating time (OT)</t>
  </si>
  <si>
    <t>Production requirement (# pieces)</t>
  </si>
  <si>
    <t>TOTAL PARTS PRODUCED</t>
  </si>
  <si>
    <t>Warranty</t>
  </si>
  <si>
    <t>Performance</t>
  </si>
  <si>
    <t>1st</t>
  </si>
  <si>
    <t>2nd</t>
  </si>
  <si>
    <t>Loss event ID</t>
  </si>
  <si>
    <t>duration (minutes)</t>
  </si>
  <si>
    <t>OEE LOSS TYPE</t>
  </si>
  <si>
    <t>Impacto por minuto</t>
  </si>
  <si>
    <t>$ LOSS (Impacto en KPI Financiero)  por tiempo perdido</t>
  </si>
  <si>
    <t>SCRAP parts</t>
  </si>
  <si>
    <t>REWORK parts</t>
  </si>
  <si>
    <t>Breakdown</t>
  </si>
  <si>
    <t>Planned Changeover</t>
  </si>
  <si>
    <t>Unplanned Changeover</t>
  </si>
  <si>
    <t>Setup and adjustments</t>
  </si>
  <si>
    <t>Tool Replacement</t>
  </si>
  <si>
    <t>Lack of operators</t>
  </si>
  <si>
    <t>Lack of material</t>
  </si>
  <si>
    <t>Micro Stoppages</t>
  </si>
  <si>
    <t>Speed Reduction</t>
  </si>
  <si>
    <t>Shortage of operators</t>
  </si>
  <si>
    <t>Line Blocked</t>
  </si>
  <si>
    <t>Line Starved</t>
  </si>
  <si>
    <t>Lack of Quality</t>
  </si>
  <si>
    <t>Tipo de perdida</t>
  </si>
  <si>
    <t>Categoria OEE</t>
  </si>
  <si>
    <t>Disponibilidad</t>
  </si>
  <si>
    <t>Desempeño</t>
  </si>
  <si>
    <t>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</si>
</sst>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$&quot;* #,##0.00_-;\-&quot;$&quot;* #,##0.00_-;_-&quot;$&quot;* &quot;-&quot;??_-;_-@_-"/>
    <numFmt numFmtId="165" formatCode="mmm\ d\ yyyy"/>
    <numFmt numFmtId="166" formatCode="&quot;$&quot;#,##0.00"/>
  </numFmts>
  <fonts count="8">
    <font>
      <sz val="10"/>
      <color rgb="FF000000"/>
      <name val="Arial"/>
      <scheme val="minor"/>
    </font>
    <font>
      <i/>
      <sz val="11"/>
      <color rgb="FF000000"/>
      <name val="Calibri"/>
      <family val="2"/>
    </font>
    <font>
      <i/>
      <sz val="9"/>
      <color rgb="FF000000"/>
      <name val="Open Sans"/>
    </font>
    <font>
      <sz val="9"/>
      <color theme="1"/>
      <name val="Open Sans"/>
    </font>
    <font>
      <sz val="10"/>
      <color theme="1"/>
      <name val="Arial"/>
      <family val="2"/>
      <scheme val="minor"/>
    </font>
    <font>
      <i/>
      <sz val="9"/>
      <color theme="1"/>
      <name val="Open Sans"/>
    </font>
    <font>
      <i/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9D9D9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6" borderId="0" xfId="0" applyFont="1" applyFill="1"/>
    <xf numFmtId="165" fontId="4" fillId="0" borderId="0" xfId="0" applyNumberFormat="1" applyFont="1"/>
    <xf numFmtId="0" fontId="4" fillId="7" borderId="0" xfId="0" applyFont="1" applyFill="1"/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166" fontId="4" fillId="0" borderId="0" xfId="0" applyNumberFormat="1" applyFont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1" applyFont="1"/>
    <xf numFmtId="164" fontId="0" fillId="0" borderId="0" xfId="0" applyNumberFormat="1"/>
    <xf numFmtId="1" fontId="0" fillId="0" borderId="0" xfId="0" applyNumberFormat="1" applyAlignment="1">
      <alignment vertical="center"/>
    </xf>
    <xf numFmtId="0" fontId="2" fillId="4" borderId="0" xfId="0" applyFont="1" applyFill="1" applyAlignment="1">
      <alignment horizontal="center" wrapText="1"/>
    </xf>
    <xf numFmtId="0" fontId="0" fillId="9" borderId="0" xfId="0" applyFill="1" applyAlignment="1">
      <alignment vertical="center" wrapText="1"/>
    </xf>
    <xf numFmtId="2" fontId="0" fillId="0" borderId="0" xfId="0" applyNumberFormat="1"/>
    <xf numFmtId="0" fontId="7" fillId="9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 readingOrder="1"/>
    </xf>
  </cellXfs>
  <cellStyles count="2">
    <cellStyle name="Currency" xfId="1" builtinId="4"/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ipo de perdida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ul.silva\Downloads\Dataset%20impacto%20OEE.xlsx" TargetMode="External"/><Relationship Id="rId1" Type="http://schemas.openxmlformats.org/officeDocument/2006/relationships/externalLinkPath" Target="Dataset%20impacto%20OE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os"/>
      <sheetName val="Part code"/>
      <sheetName val="Produccion"/>
      <sheetName val="Eventos de perdida"/>
      <sheetName val="Tipo de perdidas"/>
    </sheetNames>
    <sheetDataSet>
      <sheetData sheetId="0"/>
      <sheetData sheetId="1">
        <row r="1">
          <cell r="A1" t="str">
            <v>Part code</v>
          </cell>
          <cell r="C1" t="str">
            <v>Design Cycle time (min)</v>
          </cell>
        </row>
        <row r="2">
          <cell r="A2" t="str">
            <v>Cab123</v>
          </cell>
          <cell r="C2">
            <v>1</v>
          </cell>
        </row>
        <row r="3">
          <cell r="A3" t="str">
            <v>Cab456</v>
          </cell>
          <cell r="C3">
            <v>1</v>
          </cell>
        </row>
        <row r="4">
          <cell r="A4" t="str">
            <v>Door78</v>
          </cell>
          <cell r="C4">
            <v>0.9</v>
          </cell>
        </row>
        <row r="5">
          <cell r="A5" t="str">
            <v>Door89</v>
          </cell>
          <cell r="C5">
            <v>0.95</v>
          </cell>
        </row>
        <row r="6">
          <cell r="A6" t="str">
            <v>Com1</v>
          </cell>
          <cell r="C6">
            <v>1.1000000000000001</v>
          </cell>
        </row>
        <row r="7">
          <cell r="A7" t="str">
            <v>Com2</v>
          </cell>
          <cell r="C7">
            <v>1.2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4">
  <tableColumns count="2">
    <tableColumn id="1" xr3:uid="{00000000-0010-0000-0000-000001000000}" name="Tipo de perdida"/>
    <tableColumn id="2" xr3:uid="{00000000-0010-0000-0000-000002000000}" name="Categoria OEE"/>
  </tableColumns>
  <tableStyleInfo name="Tipo de perdid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4"/>
  <sheetViews>
    <sheetView workbookViewId="0"/>
  </sheetViews>
  <sheetFormatPr defaultColWidth="12.5703125" defaultRowHeight="15.75" customHeight="1"/>
  <sheetData>
    <row r="1" spans="1:2" ht="15.75" customHeight="1">
      <c r="A1" s="11" t="s">
        <v>0</v>
      </c>
      <c r="B1" s="12" t="s">
        <v>1</v>
      </c>
    </row>
    <row r="2" spans="1:2" ht="12.75">
      <c r="A2" s="7" t="s">
        <v>2</v>
      </c>
      <c r="B2" s="7" t="s">
        <v>3</v>
      </c>
    </row>
    <row r="3" spans="1:2" ht="12.75">
      <c r="A3" s="7" t="s">
        <v>4</v>
      </c>
      <c r="B3" s="7" t="s">
        <v>3</v>
      </c>
    </row>
    <row r="4" spans="1:2" ht="12.75">
      <c r="A4" s="7" t="s">
        <v>5</v>
      </c>
      <c r="B4" s="7" t="s">
        <v>3</v>
      </c>
    </row>
    <row r="5" spans="1:2" ht="12.75">
      <c r="A5" s="7" t="s">
        <v>6</v>
      </c>
      <c r="B5" s="7" t="s">
        <v>3</v>
      </c>
    </row>
    <row r="6" spans="1:2" ht="12.75">
      <c r="A6" s="7" t="s">
        <v>7</v>
      </c>
      <c r="B6" s="7" t="s">
        <v>8</v>
      </c>
    </row>
    <row r="7" spans="1:2" ht="12.75">
      <c r="A7" s="7" t="s">
        <v>9</v>
      </c>
      <c r="B7" s="7" t="s">
        <v>8</v>
      </c>
    </row>
    <row r="8" spans="1:2" ht="12.75">
      <c r="A8" s="7" t="s">
        <v>10</v>
      </c>
      <c r="B8" s="7" t="s">
        <v>8</v>
      </c>
    </row>
    <row r="9" spans="1:2" ht="12.75">
      <c r="A9" s="7" t="s">
        <v>11</v>
      </c>
      <c r="B9" s="7" t="s">
        <v>8</v>
      </c>
    </row>
    <row r="10" spans="1:2" ht="12.75">
      <c r="A10" s="7" t="s">
        <v>12</v>
      </c>
      <c r="B10" s="7" t="s">
        <v>8</v>
      </c>
    </row>
    <row r="11" spans="1:2" ht="12.75">
      <c r="A11" s="7" t="s">
        <v>13</v>
      </c>
      <c r="B11" s="7" t="s">
        <v>14</v>
      </c>
    </row>
    <row r="12" spans="1:2" ht="12.75">
      <c r="A12" s="7" t="s">
        <v>15</v>
      </c>
      <c r="B12" s="7" t="s">
        <v>14</v>
      </c>
    </row>
    <row r="13" spans="1:2" ht="12.75">
      <c r="A13" s="7" t="s">
        <v>16</v>
      </c>
      <c r="B13" s="7" t="s">
        <v>14</v>
      </c>
    </row>
    <row r="14" spans="1:2" ht="12.75">
      <c r="A14" s="7" t="s">
        <v>17</v>
      </c>
      <c r="B14" s="7" t="s">
        <v>14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"/>
  <sheetViews>
    <sheetView workbookViewId="0">
      <selection activeCell="F2" sqref="F2"/>
    </sheetView>
  </sheetViews>
  <sheetFormatPr defaultColWidth="12.5703125" defaultRowHeight="15.75" customHeight="1"/>
  <sheetData>
    <row r="1" spans="1:6" ht="30.75">
      <c r="A1" s="12" t="s">
        <v>18</v>
      </c>
      <c r="B1" s="12" t="s">
        <v>19</v>
      </c>
      <c r="C1" s="12" t="s">
        <v>20</v>
      </c>
      <c r="D1" s="12" t="s">
        <v>1</v>
      </c>
      <c r="E1" s="13" t="s">
        <v>21</v>
      </c>
      <c r="F1" s="27" t="s">
        <v>22</v>
      </c>
    </row>
    <row r="2" spans="1:6" ht="12.75">
      <c r="A2" s="7" t="s">
        <v>23</v>
      </c>
      <c r="B2" s="7" t="s">
        <v>24</v>
      </c>
      <c r="C2" s="7">
        <v>1</v>
      </c>
      <c r="D2" s="7" t="s">
        <v>3</v>
      </c>
      <c r="E2" s="14">
        <v>25</v>
      </c>
      <c r="F2" s="14">
        <v>12.5</v>
      </c>
    </row>
    <row r="3" spans="1:6" ht="12.75">
      <c r="A3" s="7" t="s">
        <v>25</v>
      </c>
      <c r="B3" s="7" t="s">
        <v>26</v>
      </c>
      <c r="C3" s="7">
        <v>1</v>
      </c>
      <c r="D3" s="7" t="s">
        <v>3</v>
      </c>
      <c r="E3" s="14">
        <v>30</v>
      </c>
      <c r="F3" s="14">
        <v>15</v>
      </c>
    </row>
    <row r="4" spans="1:6" ht="12.75">
      <c r="A4" s="7" t="s">
        <v>27</v>
      </c>
      <c r="B4" s="7" t="s">
        <v>28</v>
      </c>
      <c r="C4" s="7">
        <v>0.9</v>
      </c>
      <c r="D4" s="7" t="s">
        <v>8</v>
      </c>
      <c r="E4" s="14">
        <v>20</v>
      </c>
      <c r="F4" s="14">
        <v>10</v>
      </c>
    </row>
    <row r="5" spans="1:6" ht="12.75">
      <c r="A5" s="7" t="s">
        <v>29</v>
      </c>
      <c r="B5" s="7" t="s">
        <v>30</v>
      </c>
      <c r="C5" s="7">
        <v>0.95</v>
      </c>
      <c r="D5" s="7" t="s">
        <v>8</v>
      </c>
      <c r="E5" s="14">
        <v>15</v>
      </c>
      <c r="F5" s="14">
        <v>7.5</v>
      </c>
    </row>
    <row r="6" spans="1:6" ht="12.75">
      <c r="A6" s="7" t="s">
        <v>31</v>
      </c>
      <c r="B6" s="7" t="s">
        <v>32</v>
      </c>
      <c r="C6" s="7">
        <v>1.1000000000000001</v>
      </c>
      <c r="D6" s="7" t="s">
        <v>14</v>
      </c>
      <c r="E6" s="14">
        <v>19</v>
      </c>
      <c r="F6" s="14">
        <v>9.5</v>
      </c>
    </row>
    <row r="7" spans="1:6" ht="12.75">
      <c r="A7" s="7" t="s">
        <v>33</v>
      </c>
      <c r="B7" s="7" t="s">
        <v>34</v>
      </c>
      <c r="C7" s="7">
        <v>1.2</v>
      </c>
      <c r="D7" s="7" t="s">
        <v>14</v>
      </c>
      <c r="E7" s="14">
        <v>21</v>
      </c>
      <c r="F7" s="14">
        <v>10.5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29FD-B62E-461B-A4EE-74B5904F9D09}">
  <dimension ref="A1:K208"/>
  <sheetViews>
    <sheetView showGridLines="0" zoomScale="114" workbookViewId="0"/>
  </sheetViews>
  <sheetFormatPr defaultRowHeight="12.75"/>
  <cols>
    <col min="5" max="5" width="14.7109375" customWidth="1"/>
    <col min="6" max="6" width="10.42578125" customWidth="1"/>
    <col min="7" max="7" width="11.85546875" customWidth="1"/>
    <col min="8" max="8" width="17.85546875" customWidth="1"/>
    <col min="9" max="10" width="12.85546875" customWidth="1"/>
    <col min="11" max="11" width="11.28515625" customWidth="1"/>
  </cols>
  <sheetData>
    <row r="1" spans="1:11" ht="45">
      <c r="A1" s="31" t="s">
        <v>35</v>
      </c>
      <c r="B1" s="31" t="s">
        <v>36</v>
      </c>
      <c r="C1" s="31" t="s">
        <v>37</v>
      </c>
      <c r="D1" s="31" t="s">
        <v>38</v>
      </c>
      <c r="E1" s="31" t="s">
        <v>39</v>
      </c>
      <c r="F1" s="31" t="s">
        <v>40</v>
      </c>
      <c r="G1" s="31" t="s">
        <v>41</v>
      </c>
      <c r="H1" s="31" t="s">
        <v>42</v>
      </c>
      <c r="I1" s="28" t="s">
        <v>43</v>
      </c>
      <c r="J1" s="30" t="s">
        <v>44</v>
      </c>
      <c r="K1" s="30" t="s">
        <v>45</v>
      </c>
    </row>
    <row r="2" spans="1:11" ht="12.75" customHeight="1">
      <c r="A2" s="9">
        <v>45474</v>
      </c>
      <c r="B2" s="7" t="s">
        <v>46</v>
      </c>
      <c r="C2" s="7" t="s">
        <v>23</v>
      </c>
      <c r="D2" s="7" t="str">
        <f>_xlfn.XLOOKUP(C2,'Part code'!A:A,'Part code'!D:D)</f>
        <v>Process A</v>
      </c>
      <c r="E2" s="23">
        <v>480</v>
      </c>
      <c r="F2">
        <f>SUMIFS('Eventos de perdida'!G:G,'Eventos de perdida'!D:D,A2,'Eventos de perdida'!E:E,B2,'Eventos de perdida'!F:F,C2)</f>
        <v>35</v>
      </c>
      <c r="G2">
        <f>E2-F2</f>
        <v>445</v>
      </c>
      <c r="H2" s="26">
        <f>ROUNDDOWN(E2/_xlfn.XLOOKUP(C2,'[1]Part code'!A:A,'[1]Part code'!C:C),0)</f>
        <v>480</v>
      </c>
      <c r="I2">
        <f>ROUNDDOWN(G2/_xlfn.XLOOKUP(C2,'[1]Part code'!A:A,'[1]Part code'!C:C),0)</f>
        <v>445</v>
      </c>
      <c r="J2">
        <v>5</v>
      </c>
      <c r="K2" s="29">
        <f>I2*_xlfn.XLOOKUP(C2,'Part code'!A:A,'Part code'!C:C)/G2</f>
        <v>1</v>
      </c>
    </row>
    <row r="3" spans="1:11">
      <c r="A3" s="9">
        <v>45474</v>
      </c>
      <c r="B3" s="7" t="s">
        <v>47</v>
      </c>
      <c r="C3" s="7" t="s">
        <v>23</v>
      </c>
      <c r="D3" s="7" t="str">
        <f>_xlfn.XLOOKUP(C3,'Part code'!A:A,'Part code'!D:D)</f>
        <v>Process A</v>
      </c>
      <c r="E3" s="23">
        <v>200</v>
      </c>
      <c r="F3">
        <f>SUMIFS('Eventos de perdida'!G:G,'Eventos de perdida'!D:D,A3,'Eventos de perdida'!E:E,B3,'Eventos de perdida'!F:F,C3)</f>
        <v>0</v>
      </c>
      <c r="G3">
        <f t="shared" ref="G3:G66" si="0">E3-F3</f>
        <v>200</v>
      </c>
      <c r="H3" s="26">
        <f>ROUNDDOWN(E3/_xlfn.XLOOKUP(C3,'[1]Part code'!A:A,'[1]Part code'!C:C),0)</f>
        <v>200</v>
      </c>
      <c r="I3">
        <f>ROUNDDOWN(G3/_xlfn.XLOOKUP(C3,'[1]Part code'!A:A,'[1]Part code'!C:C),0)</f>
        <v>200</v>
      </c>
      <c r="J3">
        <v>5</v>
      </c>
      <c r="K3" s="29">
        <f>I3*_xlfn.XLOOKUP(C3,'Part code'!A:A,'Part code'!C:C)/G3</f>
        <v>1</v>
      </c>
    </row>
    <row r="4" spans="1:11">
      <c r="A4" s="9">
        <v>45474</v>
      </c>
      <c r="B4" s="7" t="s">
        <v>47</v>
      </c>
      <c r="C4" s="7" t="s">
        <v>25</v>
      </c>
      <c r="D4" s="7" t="str">
        <f>_xlfn.XLOOKUP(C4,'Part code'!A:A,'Part code'!D:D)</f>
        <v>Process A</v>
      </c>
      <c r="E4" s="23">
        <v>280</v>
      </c>
      <c r="F4">
        <f>SUMIFS('Eventos de perdida'!G:G,'Eventos de perdida'!D:D,A4,'Eventos de perdida'!E:E,B4,'Eventos de perdida'!F:F,C4)</f>
        <v>30</v>
      </c>
      <c r="G4">
        <f t="shared" si="0"/>
        <v>250</v>
      </c>
      <c r="H4" s="26">
        <f>ROUNDDOWN(E4/_xlfn.XLOOKUP(C4,'[1]Part code'!A:A,'[1]Part code'!C:C),0)</f>
        <v>280</v>
      </c>
      <c r="I4">
        <f>ROUNDDOWN(G4/_xlfn.XLOOKUP(C4,'[1]Part code'!A:A,'[1]Part code'!C:C),0)</f>
        <v>250</v>
      </c>
      <c r="J4">
        <v>5</v>
      </c>
      <c r="K4" s="29">
        <f>I4*_xlfn.XLOOKUP(C4,'Part code'!A:A,'Part code'!C:C)/G4</f>
        <v>1</v>
      </c>
    </row>
    <row r="5" spans="1:11">
      <c r="A5" s="9">
        <v>45474</v>
      </c>
      <c r="B5" s="7" t="s">
        <v>47</v>
      </c>
      <c r="C5" s="7" t="s">
        <v>27</v>
      </c>
      <c r="D5" s="7" t="str">
        <f>_xlfn.XLOOKUP(C5,'Part code'!A:A,'Part code'!D:D)</f>
        <v>Process B</v>
      </c>
      <c r="E5" s="23">
        <v>480</v>
      </c>
      <c r="F5">
        <f>SUMIFS('Eventos de perdida'!G:G,'Eventos de perdida'!D:D,A5,'Eventos de perdida'!E:E,B5,'Eventos de perdida'!F:F,C5)</f>
        <v>0</v>
      </c>
      <c r="G5">
        <f t="shared" si="0"/>
        <v>480</v>
      </c>
      <c r="H5" s="26">
        <f>ROUNDDOWN(E5/_xlfn.XLOOKUP(C5,'[1]Part code'!A:A,'[1]Part code'!C:C),0)</f>
        <v>533</v>
      </c>
      <c r="I5">
        <f>ROUNDDOWN(G5/_xlfn.XLOOKUP(C5,'[1]Part code'!A:A,'[1]Part code'!C:C),0)</f>
        <v>533</v>
      </c>
      <c r="J5">
        <v>2</v>
      </c>
      <c r="K5" s="29">
        <f>I5*_xlfn.XLOOKUP(C5,'Part code'!A:A,'Part code'!C:C)/G5</f>
        <v>0.99937500000000001</v>
      </c>
    </row>
    <row r="6" spans="1:11">
      <c r="A6" s="9">
        <v>45474</v>
      </c>
      <c r="B6" s="7" t="s">
        <v>46</v>
      </c>
      <c r="C6" s="7" t="s">
        <v>29</v>
      </c>
      <c r="D6" s="7" t="str">
        <f>_xlfn.XLOOKUP(C6,'Part code'!A:A,'Part code'!D:D)</f>
        <v>Process B</v>
      </c>
      <c r="E6" s="23">
        <v>200</v>
      </c>
      <c r="F6">
        <f>SUMIFS('Eventos de perdida'!G:G,'Eventos de perdida'!D:D,A6,'Eventos de perdida'!E:E,B6,'Eventos de perdida'!F:F,C6)</f>
        <v>43</v>
      </c>
      <c r="G6">
        <f t="shared" si="0"/>
        <v>157</v>
      </c>
      <c r="H6" s="26">
        <f>ROUNDDOWN(E6/_xlfn.XLOOKUP(C6,'[1]Part code'!A:A,'[1]Part code'!C:C),0)</f>
        <v>210</v>
      </c>
      <c r="I6">
        <f>ROUNDDOWN(G6/_xlfn.XLOOKUP(C6,'[1]Part code'!A:A,'[1]Part code'!C:C),0)</f>
        <v>165</v>
      </c>
      <c r="J6">
        <v>3</v>
      </c>
      <c r="K6" s="29">
        <f>I6*_xlfn.XLOOKUP(C6,'Part code'!A:A,'Part code'!C:C)/G6</f>
        <v>0.99840764331210186</v>
      </c>
    </row>
    <row r="7" spans="1:11">
      <c r="A7" s="9">
        <v>45474</v>
      </c>
      <c r="B7" s="7" t="s">
        <v>46</v>
      </c>
      <c r="C7" s="7" t="s">
        <v>27</v>
      </c>
      <c r="D7" s="7" t="str">
        <f>_xlfn.XLOOKUP(C7,'Part code'!A:A,'Part code'!D:D)</f>
        <v>Process B</v>
      </c>
      <c r="E7" s="23">
        <v>280</v>
      </c>
      <c r="F7">
        <f>SUMIFS('Eventos de perdida'!G:G,'Eventos de perdida'!D:D,A7,'Eventos de perdida'!E:E,B7,'Eventos de perdida'!F:F,C7)</f>
        <v>0</v>
      </c>
      <c r="G7">
        <f t="shared" si="0"/>
        <v>280</v>
      </c>
      <c r="H7" s="26">
        <f>ROUNDDOWN(E7/_xlfn.XLOOKUP(C7,'[1]Part code'!A:A,'[1]Part code'!C:C),0)</f>
        <v>311</v>
      </c>
      <c r="I7">
        <f>ROUNDDOWN(G7/_xlfn.XLOOKUP(C7,'[1]Part code'!A:A,'[1]Part code'!C:C),0)</f>
        <v>311</v>
      </c>
      <c r="J7">
        <v>1</v>
      </c>
      <c r="K7" s="29">
        <f>I7*_xlfn.XLOOKUP(C7,'Part code'!A:A,'Part code'!C:C)/G7</f>
        <v>0.99964285714285728</v>
      </c>
    </row>
    <row r="8" spans="1:11">
      <c r="A8" s="9">
        <v>45474</v>
      </c>
      <c r="B8" s="7" t="s">
        <v>46</v>
      </c>
      <c r="C8" s="7" t="s">
        <v>31</v>
      </c>
      <c r="D8" s="7" t="str">
        <f>_xlfn.XLOOKUP(C8,'Part code'!A:A,'Part code'!D:D)</f>
        <v>Process C</v>
      </c>
      <c r="E8" s="23">
        <v>480</v>
      </c>
      <c r="F8">
        <f>SUMIFS('Eventos de perdida'!G:G,'Eventos de perdida'!D:D,A8,'Eventos de perdida'!E:E,B8,'Eventos de perdida'!F:F,C8)</f>
        <v>0</v>
      </c>
      <c r="G8">
        <f t="shared" si="0"/>
        <v>480</v>
      </c>
      <c r="H8" s="26">
        <f>ROUNDDOWN(E8/_xlfn.XLOOKUP(C8,'[1]Part code'!A:A,'[1]Part code'!C:C),0)</f>
        <v>436</v>
      </c>
      <c r="I8">
        <f>ROUNDDOWN(G8/_xlfn.XLOOKUP(C8,'[1]Part code'!A:A,'[1]Part code'!C:C),0)</f>
        <v>436</v>
      </c>
      <c r="J8">
        <v>4</v>
      </c>
      <c r="K8" s="29">
        <f>I8*_xlfn.XLOOKUP(C8,'Part code'!A:A,'Part code'!C:C)/G8</f>
        <v>0.99916666666666676</v>
      </c>
    </row>
    <row r="9" spans="1:11">
      <c r="A9" s="9">
        <v>45474</v>
      </c>
      <c r="B9" s="7" t="s">
        <v>47</v>
      </c>
      <c r="C9" s="7" t="s">
        <v>33</v>
      </c>
      <c r="D9" s="7" t="str">
        <f>_xlfn.XLOOKUP(C9,'Part code'!A:A,'Part code'!D:D)</f>
        <v>Process C</v>
      </c>
      <c r="E9" s="23">
        <v>200</v>
      </c>
      <c r="F9">
        <f>SUMIFS('Eventos de perdida'!G:G,'Eventos de perdida'!D:D,A9,'Eventos de perdida'!E:E,B9,'Eventos de perdida'!F:F,C9)</f>
        <v>0</v>
      </c>
      <c r="G9">
        <f t="shared" si="0"/>
        <v>200</v>
      </c>
      <c r="H9" s="26">
        <f>ROUNDDOWN(E9/_xlfn.XLOOKUP(C9,'[1]Part code'!A:A,'[1]Part code'!C:C),0)</f>
        <v>166</v>
      </c>
      <c r="I9">
        <f>ROUNDDOWN(G9/_xlfn.XLOOKUP(C9,'[1]Part code'!A:A,'[1]Part code'!C:C),0)</f>
        <v>166</v>
      </c>
      <c r="J9">
        <v>5</v>
      </c>
      <c r="K9" s="29">
        <f>I9*_xlfn.XLOOKUP(C9,'Part code'!A:A,'Part code'!C:C)/G9</f>
        <v>0.996</v>
      </c>
    </row>
    <row r="10" spans="1:11">
      <c r="A10" s="9">
        <v>45474</v>
      </c>
      <c r="B10" s="7" t="s">
        <v>47</v>
      </c>
      <c r="C10" s="7" t="s">
        <v>31</v>
      </c>
      <c r="D10" s="7" t="str">
        <f>_xlfn.XLOOKUP(C10,'Part code'!A:A,'Part code'!D:D)</f>
        <v>Process C</v>
      </c>
      <c r="E10" s="23">
        <v>280</v>
      </c>
      <c r="F10">
        <f>SUMIFS('Eventos de perdida'!G:G,'Eventos de perdida'!D:D,A10,'Eventos de perdida'!E:E,B10,'Eventos de perdida'!F:F,C10)</f>
        <v>55</v>
      </c>
      <c r="G10">
        <f t="shared" si="0"/>
        <v>225</v>
      </c>
      <c r="H10" s="26">
        <f>ROUNDDOWN(E10/_xlfn.XLOOKUP(C10,'[1]Part code'!A:A,'[1]Part code'!C:C),0)</f>
        <v>254</v>
      </c>
      <c r="I10">
        <f>ROUNDDOWN(G10/_xlfn.XLOOKUP(C10,'[1]Part code'!A:A,'[1]Part code'!C:C),0)</f>
        <v>204</v>
      </c>
      <c r="J10">
        <v>6</v>
      </c>
      <c r="K10" s="29">
        <f>I10*_xlfn.XLOOKUP(C10,'Part code'!A:A,'Part code'!C:C)/G10</f>
        <v>0.9973333333333334</v>
      </c>
    </row>
    <row r="11" spans="1:11">
      <c r="A11" s="9">
        <v>45475</v>
      </c>
      <c r="B11" s="7" t="s">
        <v>47</v>
      </c>
      <c r="C11" s="7" t="s">
        <v>25</v>
      </c>
      <c r="D11" s="7" t="str">
        <f>_xlfn.XLOOKUP(C11,'Part code'!A:A,'Part code'!D:D)</f>
        <v>Process A</v>
      </c>
      <c r="E11" s="23">
        <v>240</v>
      </c>
      <c r="F11">
        <f>SUMIFS('Eventos de perdida'!G:G,'Eventos de perdida'!D:D,A11,'Eventos de perdida'!E:E,B11,'Eventos de perdida'!F:F,C11)</f>
        <v>0</v>
      </c>
      <c r="G11">
        <f t="shared" si="0"/>
        <v>240</v>
      </c>
      <c r="H11" s="26">
        <f>ROUNDDOWN(E11/_xlfn.XLOOKUP(C11,'[1]Part code'!A:A,'[1]Part code'!C:C),0)</f>
        <v>240</v>
      </c>
      <c r="I11">
        <f>ROUNDDOWN(G11/_xlfn.XLOOKUP(C11,'[1]Part code'!A:A,'[1]Part code'!C:C),0)</f>
        <v>240</v>
      </c>
      <c r="J11">
        <v>2</v>
      </c>
      <c r="K11" s="29">
        <f>I11*_xlfn.XLOOKUP(C11,'Part code'!A:A,'Part code'!C:C)/G11</f>
        <v>1</v>
      </c>
    </row>
    <row r="12" spans="1:11">
      <c r="A12" s="9">
        <v>45475</v>
      </c>
      <c r="B12" s="7" t="s">
        <v>47</v>
      </c>
      <c r="C12" s="7" t="s">
        <v>23</v>
      </c>
      <c r="D12" s="7" t="str">
        <f>_xlfn.XLOOKUP(C12,'Part code'!A:A,'Part code'!D:D)</f>
        <v>Process A</v>
      </c>
      <c r="E12" s="23">
        <v>240</v>
      </c>
      <c r="F12">
        <f>SUMIFS('Eventos de perdida'!G:G,'Eventos de perdida'!D:D,A12,'Eventos de perdida'!E:E,B12,'Eventos de perdida'!F:F,C12)</f>
        <v>67</v>
      </c>
      <c r="G12">
        <f t="shared" si="0"/>
        <v>173</v>
      </c>
      <c r="H12" s="26">
        <f>ROUNDDOWN(E12/_xlfn.XLOOKUP(C12,'[1]Part code'!A:A,'[1]Part code'!C:C),0)</f>
        <v>240</v>
      </c>
      <c r="I12">
        <f>ROUNDDOWN(G12/_xlfn.XLOOKUP(C12,'[1]Part code'!A:A,'[1]Part code'!C:C),0)</f>
        <v>173</v>
      </c>
      <c r="J12">
        <v>3</v>
      </c>
      <c r="K12" s="29">
        <f>I12*_xlfn.XLOOKUP(C12,'Part code'!A:A,'Part code'!C:C)/G12</f>
        <v>1</v>
      </c>
    </row>
    <row r="13" spans="1:11">
      <c r="A13" s="9">
        <v>45475</v>
      </c>
      <c r="B13" s="7" t="s">
        <v>46</v>
      </c>
      <c r="C13" s="7" t="s">
        <v>25</v>
      </c>
      <c r="D13" s="7" t="str">
        <f>_xlfn.XLOOKUP(C13,'Part code'!A:A,'Part code'!D:D)</f>
        <v>Process A</v>
      </c>
      <c r="E13" s="23">
        <v>480</v>
      </c>
      <c r="F13">
        <f>SUMIFS('Eventos de perdida'!G:G,'Eventos de perdida'!D:D,A13,'Eventos de perdida'!E:E,B13,'Eventos de perdida'!F:F,C13)</f>
        <v>0</v>
      </c>
      <c r="G13">
        <f t="shared" si="0"/>
        <v>480</v>
      </c>
      <c r="H13" s="26">
        <f>ROUNDDOWN(E13/_xlfn.XLOOKUP(C13,'[1]Part code'!A:A,'[1]Part code'!C:C),0)</f>
        <v>480</v>
      </c>
      <c r="I13">
        <f>ROUNDDOWN(G13/_xlfn.XLOOKUP(C13,'[1]Part code'!A:A,'[1]Part code'!C:C),0)</f>
        <v>480</v>
      </c>
      <c r="J13">
        <v>4</v>
      </c>
      <c r="K13" s="29">
        <f>I13*_xlfn.XLOOKUP(C13,'Part code'!A:A,'Part code'!C:C)/G13</f>
        <v>1</v>
      </c>
    </row>
    <row r="14" spans="1:11">
      <c r="A14" s="9">
        <v>45475</v>
      </c>
      <c r="B14" s="7" t="s">
        <v>46</v>
      </c>
      <c r="C14" s="7" t="s">
        <v>29</v>
      </c>
      <c r="D14" s="7" t="str">
        <f>_xlfn.XLOOKUP(C14,'Part code'!A:A,'Part code'!D:D)</f>
        <v>Process B</v>
      </c>
      <c r="E14" s="23">
        <v>240</v>
      </c>
      <c r="F14">
        <f>SUMIFS('Eventos de perdida'!G:G,'Eventos de perdida'!D:D,A14,'Eventos de perdida'!E:E,B14,'Eventos de perdida'!F:F,C14)</f>
        <v>15</v>
      </c>
      <c r="G14">
        <f t="shared" si="0"/>
        <v>225</v>
      </c>
      <c r="H14" s="26">
        <f>ROUNDDOWN(E14/_xlfn.XLOOKUP(C14,'[1]Part code'!A:A,'[1]Part code'!C:C),0)</f>
        <v>252</v>
      </c>
      <c r="I14">
        <f>ROUNDDOWN(G14/_xlfn.XLOOKUP(C14,'[1]Part code'!A:A,'[1]Part code'!C:C),0)</f>
        <v>236</v>
      </c>
      <c r="J14">
        <v>0</v>
      </c>
      <c r="K14" s="29">
        <f>I14*_xlfn.XLOOKUP(C14,'Part code'!A:A,'Part code'!C:C)/G14</f>
        <v>0.99644444444444435</v>
      </c>
    </row>
    <row r="15" spans="1:11">
      <c r="A15" s="9">
        <v>45475</v>
      </c>
      <c r="B15" s="7" t="s">
        <v>46</v>
      </c>
      <c r="C15" s="7" t="s">
        <v>27</v>
      </c>
      <c r="D15" s="7" t="str">
        <f>_xlfn.XLOOKUP(C15,'Part code'!A:A,'Part code'!D:D)</f>
        <v>Process B</v>
      </c>
      <c r="E15" s="23">
        <v>240</v>
      </c>
      <c r="F15">
        <f>SUMIFS('Eventos de perdida'!G:G,'Eventos de perdida'!D:D,A15,'Eventos de perdida'!E:E,B15,'Eventos de perdida'!F:F,C15)</f>
        <v>0</v>
      </c>
      <c r="G15">
        <f t="shared" si="0"/>
        <v>240</v>
      </c>
      <c r="H15" s="26">
        <f>ROUNDDOWN(E15/_xlfn.XLOOKUP(C15,'[1]Part code'!A:A,'[1]Part code'!C:C),0)</f>
        <v>266</v>
      </c>
      <c r="I15">
        <f>ROUNDDOWN(G15/_xlfn.XLOOKUP(C15,'[1]Part code'!A:A,'[1]Part code'!C:C),0)</f>
        <v>266</v>
      </c>
      <c r="J15">
        <v>5</v>
      </c>
      <c r="K15" s="29">
        <f>I15*_xlfn.XLOOKUP(C15,'Part code'!A:A,'Part code'!C:C)/G15</f>
        <v>0.99750000000000005</v>
      </c>
    </row>
    <row r="16" spans="1:11">
      <c r="A16" s="9">
        <v>45475</v>
      </c>
      <c r="B16" s="7" t="s">
        <v>47</v>
      </c>
      <c r="C16" s="7" t="s">
        <v>29</v>
      </c>
      <c r="D16" s="7" t="str">
        <f>_xlfn.XLOOKUP(C16,'Part code'!A:A,'Part code'!D:D)</f>
        <v>Process B</v>
      </c>
      <c r="E16" s="23">
        <v>480</v>
      </c>
      <c r="F16">
        <f>SUMIFS('Eventos de perdida'!G:G,'Eventos de perdida'!D:D,A16,'Eventos de perdida'!E:E,B16,'Eventos de perdida'!F:F,C16)</f>
        <v>0</v>
      </c>
      <c r="G16">
        <f t="shared" si="0"/>
        <v>480</v>
      </c>
      <c r="H16" s="26">
        <f>ROUNDDOWN(E16/_xlfn.XLOOKUP(C16,'[1]Part code'!A:A,'[1]Part code'!C:C),0)</f>
        <v>505</v>
      </c>
      <c r="I16">
        <f>ROUNDDOWN(G16/_xlfn.XLOOKUP(C16,'[1]Part code'!A:A,'[1]Part code'!C:C),0)</f>
        <v>505</v>
      </c>
      <c r="J16">
        <v>4</v>
      </c>
      <c r="K16" s="29">
        <f>I16*_xlfn.XLOOKUP(C16,'Part code'!A:A,'Part code'!C:C)/G16</f>
        <v>0.9994791666666667</v>
      </c>
    </row>
    <row r="17" spans="1:11">
      <c r="A17" s="9">
        <v>45475</v>
      </c>
      <c r="B17" s="7" t="s">
        <v>46</v>
      </c>
      <c r="C17" s="7" t="s">
        <v>33</v>
      </c>
      <c r="D17" s="7" t="str">
        <f>_xlfn.XLOOKUP(C17,'Part code'!A:A,'Part code'!D:D)</f>
        <v>Process C</v>
      </c>
      <c r="E17" s="23">
        <v>240</v>
      </c>
      <c r="F17">
        <f>SUMIFS('Eventos de perdida'!G:G,'Eventos de perdida'!D:D,A17,'Eventos de perdida'!E:E,B17,'Eventos de perdida'!F:F,C17)</f>
        <v>0</v>
      </c>
      <c r="G17">
        <f t="shared" si="0"/>
        <v>240</v>
      </c>
      <c r="H17" s="26">
        <f>ROUNDDOWN(E17/_xlfn.XLOOKUP(C17,'[1]Part code'!A:A,'[1]Part code'!C:C),0)</f>
        <v>200</v>
      </c>
      <c r="I17">
        <f>ROUNDDOWN(G17/_xlfn.XLOOKUP(C17,'[1]Part code'!A:A,'[1]Part code'!C:C),0)</f>
        <v>200</v>
      </c>
      <c r="J17">
        <v>2</v>
      </c>
      <c r="K17" s="29">
        <f>I17*_xlfn.XLOOKUP(C17,'Part code'!A:A,'Part code'!C:C)/G17</f>
        <v>1</v>
      </c>
    </row>
    <row r="18" spans="1:11">
      <c r="A18" s="9">
        <v>45475</v>
      </c>
      <c r="B18" s="7" t="s">
        <v>46</v>
      </c>
      <c r="C18" s="7" t="s">
        <v>31</v>
      </c>
      <c r="D18" s="7" t="str">
        <f>_xlfn.XLOOKUP(C18,'Part code'!A:A,'Part code'!D:D)</f>
        <v>Process C</v>
      </c>
      <c r="E18" s="23">
        <v>240</v>
      </c>
      <c r="F18">
        <f>SUMIFS('Eventos de perdida'!G:G,'Eventos de perdida'!D:D,A18,'Eventos de perdida'!E:E,B18,'Eventos de perdida'!F:F,C18)</f>
        <v>0</v>
      </c>
      <c r="G18">
        <f t="shared" si="0"/>
        <v>240</v>
      </c>
      <c r="H18" s="26">
        <f>ROUNDDOWN(E18/_xlfn.XLOOKUP(C18,'[1]Part code'!A:A,'[1]Part code'!C:C),0)</f>
        <v>218</v>
      </c>
      <c r="I18">
        <f>ROUNDDOWN(G18/_xlfn.XLOOKUP(C18,'[1]Part code'!A:A,'[1]Part code'!C:C),0)</f>
        <v>218</v>
      </c>
      <c r="J18">
        <v>4</v>
      </c>
      <c r="K18" s="29">
        <f>I18*_xlfn.XLOOKUP(C18,'Part code'!A:A,'Part code'!C:C)/G18</f>
        <v>0.99916666666666676</v>
      </c>
    </row>
    <row r="19" spans="1:11">
      <c r="A19" s="9">
        <v>45475</v>
      </c>
      <c r="B19" s="7" t="s">
        <v>47</v>
      </c>
      <c r="C19" s="7" t="s">
        <v>33</v>
      </c>
      <c r="D19" s="7" t="str">
        <f>_xlfn.XLOOKUP(C19,'Part code'!A:A,'Part code'!D:D)</f>
        <v>Process C</v>
      </c>
      <c r="E19" s="23">
        <v>480</v>
      </c>
      <c r="F19">
        <f>SUMIFS('Eventos de perdida'!G:G,'Eventos de perdida'!D:D,A19,'Eventos de perdida'!E:E,B19,'Eventos de perdida'!F:F,C19)</f>
        <v>0</v>
      </c>
      <c r="G19">
        <f t="shared" si="0"/>
        <v>480</v>
      </c>
      <c r="H19" s="26">
        <f>ROUNDDOWN(E19/_xlfn.XLOOKUP(C19,'[1]Part code'!A:A,'[1]Part code'!C:C),0)</f>
        <v>400</v>
      </c>
      <c r="I19">
        <f>ROUNDDOWN(G19/_xlfn.XLOOKUP(C19,'[1]Part code'!A:A,'[1]Part code'!C:C),0)</f>
        <v>400</v>
      </c>
      <c r="J19">
        <v>2</v>
      </c>
      <c r="K19" s="29">
        <f>I19*_xlfn.XLOOKUP(C19,'Part code'!A:A,'Part code'!C:C)/G19</f>
        <v>1</v>
      </c>
    </row>
    <row r="20" spans="1:11">
      <c r="A20" s="9">
        <v>45476</v>
      </c>
      <c r="B20" s="7" t="s">
        <v>46</v>
      </c>
      <c r="C20" s="7" t="s">
        <v>23</v>
      </c>
      <c r="D20" s="7" t="str">
        <f>_xlfn.XLOOKUP(C20,'Part code'!A:A,'Part code'!D:D)</f>
        <v>Process A</v>
      </c>
      <c r="E20" s="23">
        <v>180</v>
      </c>
      <c r="F20">
        <f>SUMIFS('Eventos de perdida'!G:G,'Eventos de perdida'!D:D,A20,'Eventos de perdida'!E:E,B20,'Eventos de perdida'!F:F,C20)</f>
        <v>0</v>
      </c>
      <c r="G20">
        <f t="shared" si="0"/>
        <v>180</v>
      </c>
      <c r="H20" s="26">
        <f>ROUNDDOWN(E20/_xlfn.XLOOKUP(C20,'[1]Part code'!A:A,'[1]Part code'!C:C),0)</f>
        <v>180</v>
      </c>
      <c r="I20">
        <f>ROUNDDOWN(G20/_xlfn.XLOOKUP(C20,'[1]Part code'!A:A,'[1]Part code'!C:C),0)</f>
        <v>180</v>
      </c>
      <c r="J20">
        <v>4</v>
      </c>
      <c r="K20" s="29">
        <f>I20*_xlfn.XLOOKUP(C20,'Part code'!A:A,'Part code'!C:C)/G20</f>
        <v>1</v>
      </c>
    </row>
    <row r="21" spans="1:11">
      <c r="A21" s="9">
        <v>45476</v>
      </c>
      <c r="B21" s="7" t="s">
        <v>46</v>
      </c>
      <c r="C21" s="7" t="s">
        <v>25</v>
      </c>
      <c r="D21" s="7" t="str">
        <f>_xlfn.XLOOKUP(C21,'Part code'!A:A,'Part code'!D:D)</f>
        <v>Process A</v>
      </c>
      <c r="E21" s="23">
        <v>300</v>
      </c>
      <c r="F21">
        <f>SUMIFS('Eventos de perdida'!G:G,'Eventos de perdida'!D:D,A21,'Eventos de perdida'!E:E,B21,'Eventos de perdida'!F:F,C21)</f>
        <v>0</v>
      </c>
      <c r="G21">
        <f t="shared" si="0"/>
        <v>300</v>
      </c>
      <c r="H21" s="26">
        <f>ROUNDDOWN(E21/_xlfn.XLOOKUP(C21,'[1]Part code'!A:A,'[1]Part code'!C:C),0)</f>
        <v>300</v>
      </c>
      <c r="I21">
        <f>ROUNDDOWN(G21/_xlfn.XLOOKUP(C21,'[1]Part code'!A:A,'[1]Part code'!C:C),0)</f>
        <v>300</v>
      </c>
      <c r="J21">
        <v>5</v>
      </c>
      <c r="K21" s="29">
        <f>I21*_xlfn.XLOOKUP(C21,'Part code'!A:A,'Part code'!C:C)/G21</f>
        <v>1</v>
      </c>
    </row>
    <row r="22" spans="1:11">
      <c r="A22" s="9">
        <v>45476</v>
      </c>
      <c r="B22" s="7" t="s">
        <v>47</v>
      </c>
      <c r="C22" s="7" t="s">
        <v>23</v>
      </c>
      <c r="D22" s="7" t="str">
        <f>_xlfn.XLOOKUP(C22,'Part code'!A:A,'Part code'!D:D)</f>
        <v>Process A</v>
      </c>
      <c r="E22" s="23">
        <v>480</v>
      </c>
      <c r="F22">
        <f>SUMIFS('Eventos de perdida'!G:G,'Eventos de perdida'!D:D,A22,'Eventos de perdida'!E:E,B22,'Eventos de perdida'!F:F,C22)</f>
        <v>5</v>
      </c>
      <c r="G22">
        <f t="shared" si="0"/>
        <v>475</v>
      </c>
      <c r="H22" s="26">
        <f>ROUNDDOWN(E22/_xlfn.XLOOKUP(C22,'[1]Part code'!A:A,'[1]Part code'!C:C),0)</f>
        <v>480</v>
      </c>
      <c r="I22">
        <f>ROUNDDOWN(G22/_xlfn.XLOOKUP(C22,'[1]Part code'!A:A,'[1]Part code'!C:C),0)</f>
        <v>475</v>
      </c>
      <c r="J22">
        <v>2</v>
      </c>
      <c r="K22" s="29">
        <f>I22*_xlfn.XLOOKUP(C22,'Part code'!A:A,'Part code'!C:C)/G22</f>
        <v>1</v>
      </c>
    </row>
    <row r="23" spans="1:11">
      <c r="A23" s="9">
        <v>45476</v>
      </c>
      <c r="B23" s="7" t="s">
        <v>46</v>
      </c>
      <c r="C23" s="7" t="s">
        <v>27</v>
      </c>
      <c r="D23" s="7" t="str">
        <f>_xlfn.XLOOKUP(C23,'Part code'!A:A,'Part code'!D:D)</f>
        <v>Process B</v>
      </c>
      <c r="E23" s="23">
        <v>180</v>
      </c>
      <c r="F23">
        <f>SUMIFS('Eventos de perdida'!G:G,'Eventos de perdida'!D:D,A23,'Eventos de perdida'!E:E,B23,'Eventos de perdida'!F:F,C23)</f>
        <v>0</v>
      </c>
      <c r="G23">
        <f t="shared" si="0"/>
        <v>180</v>
      </c>
      <c r="H23" s="26">
        <f>ROUNDDOWN(E23/_xlfn.XLOOKUP(C23,'[1]Part code'!A:A,'[1]Part code'!C:C),0)</f>
        <v>200</v>
      </c>
      <c r="I23">
        <f>ROUNDDOWN(G23/_xlfn.XLOOKUP(C23,'[1]Part code'!A:A,'[1]Part code'!C:C),0)</f>
        <v>200</v>
      </c>
      <c r="J23">
        <v>4</v>
      </c>
      <c r="K23" s="29">
        <f>I23*_xlfn.XLOOKUP(C23,'Part code'!A:A,'Part code'!C:C)/G23</f>
        <v>1</v>
      </c>
    </row>
    <row r="24" spans="1:11">
      <c r="A24" s="9">
        <v>45476</v>
      </c>
      <c r="B24" s="7" t="s">
        <v>46</v>
      </c>
      <c r="C24" s="7" t="s">
        <v>29</v>
      </c>
      <c r="D24" s="7" t="str">
        <f>_xlfn.XLOOKUP(C24,'Part code'!A:A,'Part code'!D:D)</f>
        <v>Process B</v>
      </c>
      <c r="E24" s="23">
        <v>300</v>
      </c>
      <c r="F24">
        <f>SUMIFS('Eventos de perdida'!G:G,'Eventos de perdida'!D:D,A24,'Eventos de perdida'!E:E,B24,'Eventos de perdida'!F:F,C24)</f>
        <v>0</v>
      </c>
      <c r="G24">
        <f t="shared" si="0"/>
        <v>300</v>
      </c>
      <c r="H24" s="26">
        <f>ROUNDDOWN(E24/_xlfn.XLOOKUP(C24,'[1]Part code'!A:A,'[1]Part code'!C:C),0)</f>
        <v>315</v>
      </c>
      <c r="I24">
        <f>ROUNDDOWN(G24/_xlfn.XLOOKUP(C24,'[1]Part code'!A:A,'[1]Part code'!C:C),0)</f>
        <v>315</v>
      </c>
      <c r="J24">
        <v>0</v>
      </c>
      <c r="K24" s="29">
        <f>I24*_xlfn.XLOOKUP(C24,'Part code'!A:A,'Part code'!C:C)/G24</f>
        <v>0.99750000000000005</v>
      </c>
    </row>
    <row r="25" spans="1:11">
      <c r="A25" s="9">
        <v>45476</v>
      </c>
      <c r="B25" s="7" t="s">
        <v>47</v>
      </c>
      <c r="C25" s="7" t="s">
        <v>27</v>
      </c>
      <c r="D25" s="7" t="str">
        <f>_xlfn.XLOOKUP(C25,'Part code'!A:A,'Part code'!D:D)</f>
        <v>Process B</v>
      </c>
      <c r="E25" s="23">
        <v>480</v>
      </c>
      <c r="F25">
        <f>SUMIFS('Eventos de perdida'!G:G,'Eventos de perdida'!D:D,A25,'Eventos de perdida'!E:E,B25,'Eventos de perdida'!F:F,C25)</f>
        <v>0</v>
      </c>
      <c r="G25">
        <f t="shared" si="0"/>
        <v>480</v>
      </c>
      <c r="H25" s="26">
        <f>ROUNDDOWN(E25/_xlfn.XLOOKUP(C25,'[1]Part code'!A:A,'[1]Part code'!C:C),0)</f>
        <v>533</v>
      </c>
      <c r="I25">
        <f>ROUNDDOWN(G25/_xlfn.XLOOKUP(C25,'[1]Part code'!A:A,'[1]Part code'!C:C),0)</f>
        <v>533</v>
      </c>
      <c r="J25">
        <v>0</v>
      </c>
      <c r="K25" s="29">
        <f>I25*_xlfn.XLOOKUP(C25,'Part code'!A:A,'Part code'!C:C)/G25</f>
        <v>0.99937500000000001</v>
      </c>
    </row>
    <row r="26" spans="1:11">
      <c r="A26" s="9">
        <v>45476</v>
      </c>
      <c r="B26" s="7" t="s">
        <v>46</v>
      </c>
      <c r="C26" s="7" t="s">
        <v>31</v>
      </c>
      <c r="D26" s="7" t="str">
        <f>_xlfn.XLOOKUP(C26,'Part code'!A:A,'Part code'!D:D)</f>
        <v>Process C</v>
      </c>
      <c r="E26" s="23">
        <v>180</v>
      </c>
      <c r="F26">
        <f>SUMIFS('Eventos de perdida'!G:G,'Eventos de perdida'!D:D,A26,'Eventos de perdida'!E:E,B26,'Eventos de perdida'!F:F,C26)</f>
        <v>96</v>
      </c>
      <c r="G26">
        <f t="shared" si="0"/>
        <v>84</v>
      </c>
      <c r="H26" s="26">
        <f>ROUNDDOWN(E26/_xlfn.XLOOKUP(C26,'[1]Part code'!A:A,'[1]Part code'!C:C),0)</f>
        <v>163</v>
      </c>
      <c r="I26">
        <f>ROUNDDOWN(G26/_xlfn.XLOOKUP(C26,'[1]Part code'!A:A,'[1]Part code'!C:C),0)</f>
        <v>76</v>
      </c>
      <c r="J26">
        <v>1</v>
      </c>
      <c r="K26" s="29">
        <f>I26*_xlfn.XLOOKUP(C26,'Part code'!A:A,'Part code'!C:C)/G26</f>
        <v>0.99523809523809537</v>
      </c>
    </row>
    <row r="27" spans="1:11">
      <c r="A27" s="9">
        <v>45476</v>
      </c>
      <c r="B27" s="7" t="s">
        <v>46</v>
      </c>
      <c r="C27" s="7" t="s">
        <v>33</v>
      </c>
      <c r="D27" s="7" t="str">
        <f>_xlfn.XLOOKUP(C27,'Part code'!A:A,'Part code'!D:D)</f>
        <v>Process C</v>
      </c>
      <c r="E27" s="23">
        <v>300</v>
      </c>
      <c r="F27">
        <f>SUMIFS('Eventos de perdida'!G:G,'Eventos de perdida'!D:D,A27,'Eventos de perdida'!E:E,B27,'Eventos de perdida'!F:F,C27)</f>
        <v>0</v>
      </c>
      <c r="G27">
        <f t="shared" si="0"/>
        <v>300</v>
      </c>
      <c r="H27" s="26">
        <f>ROUNDDOWN(E27/_xlfn.XLOOKUP(C27,'[1]Part code'!A:A,'[1]Part code'!C:C),0)</f>
        <v>250</v>
      </c>
      <c r="I27">
        <f>ROUNDDOWN(G27/_xlfn.XLOOKUP(C27,'[1]Part code'!A:A,'[1]Part code'!C:C),0)</f>
        <v>250</v>
      </c>
      <c r="J27">
        <v>4</v>
      </c>
      <c r="K27" s="29">
        <f>I27*_xlfn.XLOOKUP(C27,'Part code'!A:A,'Part code'!C:C)/G27</f>
        <v>1</v>
      </c>
    </row>
    <row r="28" spans="1:11">
      <c r="A28" s="9">
        <v>45476</v>
      </c>
      <c r="B28" s="7" t="s">
        <v>47</v>
      </c>
      <c r="C28" s="7" t="s">
        <v>31</v>
      </c>
      <c r="D28" s="7" t="str">
        <f>_xlfn.XLOOKUP(C28,'Part code'!A:A,'Part code'!D:D)</f>
        <v>Process C</v>
      </c>
      <c r="E28" s="23">
        <v>480</v>
      </c>
      <c r="F28">
        <f>SUMIFS('Eventos de perdida'!G:G,'Eventos de perdida'!D:D,A28,'Eventos de perdida'!E:E,B28,'Eventos de perdida'!F:F,C28)</f>
        <v>0</v>
      </c>
      <c r="G28">
        <f t="shared" si="0"/>
        <v>480</v>
      </c>
      <c r="H28" s="26">
        <f>ROUNDDOWN(E28/_xlfn.XLOOKUP(C28,'[1]Part code'!A:A,'[1]Part code'!C:C),0)</f>
        <v>436</v>
      </c>
      <c r="I28">
        <f>ROUNDDOWN(G28/_xlfn.XLOOKUP(C28,'[1]Part code'!A:A,'[1]Part code'!C:C),0)</f>
        <v>436</v>
      </c>
      <c r="J28">
        <v>2</v>
      </c>
      <c r="K28" s="29">
        <f>I28*_xlfn.XLOOKUP(C28,'Part code'!A:A,'Part code'!C:C)/G28</f>
        <v>0.99916666666666676</v>
      </c>
    </row>
    <row r="29" spans="1:11">
      <c r="A29" s="9">
        <v>45477</v>
      </c>
      <c r="B29" s="7" t="s">
        <v>46</v>
      </c>
      <c r="C29" s="7" t="s">
        <v>25</v>
      </c>
      <c r="D29" s="7" t="str">
        <f>_xlfn.XLOOKUP(C29,'Part code'!A:A,'Part code'!D:D)</f>
        <v>Process A</v>
      </c>
      <c r="E29" s="23">
        <v>480</v>
      </c>
      <c r="F29">
        <f>SUMIFS('Eventos de perdida'!G:G,'Eventos de perdida'!D:D,A29,'Eventos de perdida'!E:E,B29,'Eventos de perdida'!F:F,C29)</f>
        <v>0</v>
      </c>
      <c r="G29">
        <f t="shared" si="0"/>
        <v>480</v>
      </c>
      <c r="H29" s="26">
        <f>ROUNDDOWN(E29/_xlfn.XLOOKUP(C29,'[1]Part code'!A:A,'[1]Part code'!C:C),0)</f>
        <v>480</v>
      </c>
      <c r="I29">
        <f>ROUNDDOWN(G29/_xlfn.XLOOKUP(C29,'[1]Part code'!A:A,'[1]Part code'!C:C),0)</f>
        <v>480</v>
      </c>
      <c r="J29">
        <v>4</v>
      </c>
      <c r="K29" s="29">
        <f>I29*_xlfn.XLOOKUP(C29,'Part code'!A:A,'Part code'!C:C)/G29</f>
        <v>1</v>
      </c>
    </row>
    <row r="30" spans="1:11">
      <c r="A30" s="9">
        <v>45477</v>
      </c>
      <c r="B30" s="7" t="s">
        <v>47</v>
      </c>
      <c r="C30" s="7" t="s">
        <v>25</v>
      </c>
      <c r="D30" s="7" t="str">
        <f>_xlfn.XLOOKUP(C30,'Part code'!A:A,'Part code'!D:D)</f>
        <v>Process A</v>
      </c>
      <c r="E30" s="23">
        <v>240</v>
      </c>
      <c r="F30">
        <f>SUMIFS('Eventos de perdida'!G:G,'Eventos de perdida'!D:D,A30,'Eventos de perdida'!E:E,B30,'Eventos de perdida'!F:F,C30)</f>
        <v>0</v>
      </c>
      <c r="G30">
        <f t="shared" si="0"/>
        <v>240</v>
      </c>
      <c r="H30" s="26">
        <f>ROUNDDOWN(E30/_xlfn.XLOOKUP(C30,'[1]Part code'!A:A,'[1]Part code'!C:C),0)</f>
        <v>240</v>
      </c>
      <c r="I30">
        <f>ROUNDDOWN(G30/_xlfn.XLOOKUP(C30,'[1]Part code'!A:A,'[1]Part code'!C:C),0)</f>
        <v>240</v>
      </c>
      <c r="J30">
        <v>4</v>
      </c>
      <c r="K30" s="29">
        <f>I30*_xlfn.XLOOKUP(C30,'Part code'!A:A,'Part code'!C:C)/G30</f>
        <v>1</v>
      </c>
    </row>
    <row r="31" spans="1:11">
      <c r="A31" s="9">
        <v>45477</v>
      </c>
      <c r="B31" s="7" t="s">
        <v>47</v>
      </c>
      <c r="C31" s="7" t="s">
        <v>23</v>
      </c>
      <c r="D31" s="7" t="str">
        <f>_xlfn.XLOOKUP(C31,'Part code'!A:A,'Part code'!D:D)</f>
        <v>Process A</v>
      </c>
      <c r="E31" s="23">
        <v>240</v>
      </c>
      <c r="F31">
        <f>SUMIFS('Eventos de perdida'!G:G,'Eventos de perdida'!D:D,A31,'Eventos de perdida'!E:E,B31,'Eventos de perdida'!F:F,C31)</f>
        <v>0</v>
      </c>
      <c r="G31">
        <f t="shared" si="0"/>
        <v>240</v>
      </c>
      <c r="H31" s="26">
        <f>ROUNDDOWN(E31/_xlfn.XLOOKUP(C31,'[1]Part code'!A:A,'[1]Part code'!C:C),0)</f>
        <v>240</v>
      </c>
      <c r="I31">
        <f>ROUNDDOWN(G31/_xlfn.XLOOKUP(C31,'[1]Part code'!A:A,'[1]Part code'!C:C),0)</f>
        <v>240</v>
      </c>
      <c r="J31">
        <v>4</v>
      </c>
      <c r="K31" s="29">
        <f>I31*_xlfn.XLOOKUP(C31,'Part code'!A:A,'Part code'!C:C)/G31</f>
        <v>1</v>
      </c>
    </row>
    <row r="32" spans="1:11">
      <c r="A32" s="9">
        <v>45477</v>
      </c>
      <c r="B32" s="7" t="s">
        <v>46</v>
      </c>
      <c r="C32" s="7" t="s">
        <v>29</v>
      </c>
      <c r="D32" s="7" t="str">
        <f>_xlfn.XLOOKUP(C32,'Part code'!A:A,'Part code'!D:D)</f>
        <v>Process B</v>
      </c>
      <c r="E32" s="23">
        <v>480</v>
      </c>
      <c r="F32">
        <f>SUMIFS('Eventos de perdida'!G:G,'Eventos de perdida'!D:D,A32,'Eventos de perdida'!E:E,B32,'Eventos de perdida'!F:F,C32)</f>
        <v>0</v>
      </c>
      <c r="G32">
        <f t="shared" si="0"/>
        <v>480</v>
      </c>
      <c r="H32" s="26">
        <f>ROUNDDOWN(E32/_xlfn.XLOOKUP(C32,'[1]Part code'!A:A,'[1]Part code'!C:C),0)</f>
        <v>505</v>
      </c>
      <c r="I32">
        <f>ROUNDDOWN(G32/_xlfn.XLOOKUP(C32,'[1]Part code'!A:A,'[1]Part code'!C:C),0)</f>
        <v>505</v>
      </c>
      <c r="J32">
        <v>2</v>
      </c>
      <c r="K32" s="29">
        <f>I32*_xlfn.XLOOKUP(C32,'Part code'!A:A,'Part code'!C:C)/G32</f>
        <v>0.9994791666666667</v>
      </c>
    </row>
    <row r="33" spans="1:11">
      <c r="A33" s="9">
        <v>45477</v>
      </c>
      <c r="B33" s="7" t="s">
        <v>47</v>
      </c>
      <c r="C33" s="7" t="s">
        <v>27</v>
      </c>
      <c r="D33" s="7" t="str">
        <f>_xlfn.XLOOKUP(C33,'Part code'!A:A,'Part code'!D:D)</f>
        <v>Process B</v>
      </c>
      <c r="E33" s="23">
        <v>240</v>
      </c>
      <c r="F33">
        <f>SUMIFS('Eventos de perdida'!G:G,'Eventos de perdida'!D:D,A33,'Eventos de perdida'!E:E,B33,'Eventos de perdida'!F:F,C33)</f>
        <v>9</v>
      </c>
      <c r="G33">
        <f t="shared" si="0"/>
        <v>231</v>
      </c>
      <c r="H33" s="26">
        <f>ROUNDDOWN(E33/_xlfn.XLOOKUP(C33,'[1]Part code'!A:A,'[1]Part code'!C:C),0)</f>
        <v>266</v>
      </c>
      <c r="I33">
        <f>ROUNDDOWN(G33/_xlfn.XLOOKUP(C33,'[1]Part code'!A:A,'[1]Part code'!C:C),0)</f>
        <v>256</v>
      </c>
      <c r="J33">
        <v>2</v>
      </c>
      <c r="K33" s="29">
        <f>I33*_xlfn.XLOOKUP(C33,'Part code'!A:A,'Part code'!C:C)/G33</f>
        <v>0.9974025974025974</v>
      </c>
    </row>
    <row r="34" spans="1:11">
      <c r="A34" s="9">
        <v>45477</v>
      </c>
      <c r="B34" s="7" t="s">
        <v>47</v>
      </c>
      <c r="C34" s="7" t="s">
        <v>29</v>
      </c>
      <c r="D34" s="7" t="str">
        <f>_xlfn.XLOOKUP(C34,'Part code'!A:A,'Part code'!D:D)</f>
        <v>Process B</v>
      </c>
      <c r="E34" s="23">
        <v>240</v>
      </c>
      <c r="F34">
        <f>SUMIFS('Eventos de perdida'!G:G,'Eventos de perdida'!D:D,A34,'Eventos de perdida'!E:E,B34,'Eventos de perdida'!F:F,C34)</f>
        <v>0</v>
      </c>
      <c r="G34">
        <f t="shared" si="0"/>
        <v>240</v>
      </c>
      <c r="H34" s="26">
        <f>ROUNDDOWN(E34/_xlfn.XLOOKUP(C34,'[1]Part code'!A:A,'[1]Part code'!C:C),0)</f>
        <v>252</v>
      </c>
      <c r="I34">
        <f>ROUNDDOWN(G34/_xlfn.XLOOKUP(C34,'[1]Part code'!A:A,'[1]Part code'!C:C),0)</f>
        <v>252</v>
      </c>
      <c r="J34">
        <v>2</v>
      </c>
      <c r="K34" s="29">
        <f>I34*_xlfn.XLOOKUP(C34,'Part code'!A:A,'Part code'!C:C)/G34</f>
        <v>0.99749999999999994</v>
      </c>
    </row>
    <row r="35" spans="1:11">
      <c r="A35" s="9">
        <v>45477</v>
      </c>
      <c r="B35" s="7" t="s">
        <v>46</v>
      </c>
      <c r="C35" s="7" t="s">
        <v>33</v>
      </c>
      <c r="D35" s="7" t="str">
        <f>_xlfn.XLOOKUP(C35,'Part code'!A:A,'Part code'!D:D)</f>
        <v>Process C</v>
      </c>
      <c r="E35" s="23">
        <v>480</v>
      </c>
      <c r="F35">
        <f>SUMIFS('Eventos de perdida'!G:G,'Eventos de perdida'!D:D,A35,'Eventos de perdida'!E:E,B35,'Eventos de perdida'!F:F,C35)</f>
        <v>0</v>
      </c>
      <c r="G35">
        <f t="shared" si="0"/>
        <v>480</v>
      </c>
      <c r="H35" s="26">
        <f>ROUNDDOWN(E35/_xlfn.XLOOKUP(C35,'[1]Part code'!A:A,'[1]Part code'!C:C),0)</f>
        <v>400</v>
      </c>
      <c r="I35">
        <f>ROUNDDOWN(G35/_xlfn.XLOOKUP(C35,'[1]Part code'!A:A,'[1]Part code'!C:C),0)</f>
        <v>400</v>
      </c>
      <c r="J35">
        <v>1</v>
      </c>
      <c r="K35" s="29">
        <f>I35*_xlfn.XLOOKUP(C35,'Part code'!A:A,'Part code'!C:C)/G35</f>
        <v>1</v>
      </c>
    </row>
    <row r="36" spans="1:11">
      <c r="A36" s="9">
        <v>45477</v>
      </c>
      <c r="B36" s="7" t="s">
        <v>47</v>
      </c>
      <c r="C36" s="7" t="s">
        <v>31</v>
      </c>
      <c r="D36" s="7" t="str">
        <f>_xlfn.XLOOKUP(C36,'Part code'!A:A,'Part code'!D:D)</f>
        <v>Process C</v>
      </c>
      <c r="E36" s="23">
        <v>240</v>
      </c>
      <c r="F36">
        <f>SUMIFS('Eventos de perdida'!G:G,'Eventos de perdida'!D:D,A36,'Eventos de perdida'!E:E,B36,'Eventos de perdida'!F:F,C36)</f>
        <v>0</v>
      </c>
      <c r="G36">
        <f t="shared" si="0"/>
        <v>240</v>
      </c>
      <c r="H36" s="26">
        <f>ROUNDDOWN(E36/_xlfn.XLOOKUP(C36,'[1]Part code'!A:A,'[1]Part code'!C:C),0)</f>
        <v>218</v>
      </c>
      <c r="I36">
        <f>ROUNDDOWN(G36/_xlfn.XLOOKUP(C36,'[1]Part code'!A:A,'[1]Part code'!C:C),0)</f>
        <v>218</v>
      </c>
      <c r="J36">
        <v>3</v>
      </c>
      <c r="K36" s="29">
        <f>I36*_xlfn.XLOOKUP(C36,'Part code'!A:A,'Part code'!C:C)/G36</f>
        <v>0.99916666666666676</v>
      </c>
    </row>
    <row r="37" spans="1:11">
      <c r="A37" s="9">
        <v>45477</v>
      </c>
      <c r="B37" s="7" t="s">
        <v>47</v>
      </c>
      <c r="C37" s="7" t="s">
        <v>33</v>
      </c>
      <c r="D37" s="7" t="str">
        <f>_xlfn.XLOOKUP(C37,'Part code'!A:A,'Part code'!D:D)</f>
        <v>Process C</v>
      </c>
      <c r="E37" s="23">
        <v>240</v>
      </c>
      <c r="F37">
        <f>SUMIFS('Eventos de perdida'!G:G,'Eventos de perdida'!D:D,A37,'Eventos de perdida'!E:E,B37,'Eventos de perdida'!F:F,C37)</f>
        <v>0</v>
      </c>
      <c r="G37">
        <f t="shared" si="0"/>
        <v>240</v>
      </c>
      <c r="H37" s="26">
        <f>ROUNDDOWN(E37/_xlfn.XLOOKUP(C37,'[1]Part code'!A:A,'[1]Part code'!C:C),0)</f>
        <v>200</v>
      </c>
      <c r="I37">
        <f>ROUNDDOWN(G37/_xlfn.XLOOKUP(C37,'[1]Part code'!A:A,'[1]Part code'!C:C),0)</f>
        <v>200</v>
      </c>
      <c r="J37">
        <v>3</v>
      </c>
      <c r="K37" s="29">
        <f>I37*_xlfn.XLOOKUP(C37,'Part code'!A:A,'Part code'!C:C)/G37</f>
        <v>1</v>
      </c>
    </row>
    <row r="38" spans="1:11">
      <c r="A38" s="9">
        <v>45478</v>
      </c>
      <c r="B38" s="7" t="s">
        <v>47</v>
      </c>
      <c r="C38" s="7" t="s">
        <v>23</v>
      </c>
      <c r="D38" s="7" t="str">
        <f>_xlfn.XLOOKUP(C38,'Part code'!A:A,'Part code'!D:D)</f>
        <v>Process A</v>
      </c>
      <c r="E38" s="23">
        <v>480</v>
      </c>
      <c r="F38">
        <f>SUMIFS('Eventos de perdida'!G:G,'Eventos de perdida'!D:D,A38,'Eventos de perdida'!E:E,B38,'Eventos de perdida'!F:F,C38)</f>
        <v>5</v>
      </c>
      <c r="G38">
        <f t="shared" si="0"/>
        <v>475</v>
      </c>
      <c r="H38" s="26">
        <f>ROUNDDOWN(E38/_xlfn.XLOOKUP(C38,'[1]Part code'!A:A,'[1]Part code'!C:C),0)</f>
        <v>480</v>
      </c>
      <c r="I38">
        <f>ROUNDDOWN(G38/_xlfn.XLOOKUP(C38,'[1]Part code'!A:A,'[1]Part code'!C:C),0)</f>
        <v>475</v>
      </c>
      <c r="J38">
        <v>5</v>
      </c>
      <c r="K38" s="29">
        <f>I38*_xlfn.XLOOKUP(C38,'Part code'!A:A,'Part code'!C:C)/G38</f>
        <v>1</v>
      </c>
    </row>
    <row r="39" spans="1:11">
      <c r="A39" s="9">
        <v>45478</v>
      </c>
      <c r="B39" s="7" t="s">
        <v>46</v>
      </c>
      <c r="C39" s="7" t="s">
        <v>25</v>
      </c>
      <c r="D39" s="7" t="str">
        <f>_xlfn.XLOOKUP(C39,'Part code'!A:A,'Part code'!D:D)</f>
        <v>Process A</v>
      </c>
      <c r="E39" s="23">
        <v>180</v>
      </c>
      <c r="F39">
        <f>SUMIFS('Eventos de perdida'!G:G,'Eventos de perdida'!D:D,A39,'Eventos de perdida'!E:E,B39,'Eventos de perdida'!F:F,C39)</f>
        <v>30</v>
      </c>
      <c r="G39">
        <f t="shared" si="0"/>
        <v>150</v>
      </c>
      <c r="H39" s="26">
        <f>ROUNDDOWN(E39/_xlfn.XLOOKUP(C39,'[1]Part code'!A:A,'[1]Part code'!C:C),0)</f>
        <v>180</v>
      </c>
      <c r="I39">
        <f>ROUNDDOWN(G39/_xlfn.XLOOKUP(C39,'[1]Part code'!A:A,'[1]Part code'!C:C),0)</f>
        <v>150</v>
      </c>
      <c r="J39">
        <v>1</v>
      </c>
      <c r="K39" s="29">
        <f>I39*_xlfn.XLOOKUP(C39,'Part code'!A:A,'Part code'!C:C)/G39</f>
        <v>1</v>
      </c>
    </row>
    <row r="40" spans="1:11">
      <c r="A40" s="9">
        <v>45478</v>
      </c>
      <c r="B40" s="7" t="s">
        <v>46</v>
      </c>
      <c r="C40" s="7" t="s">
        <v>23</v>
      </c>
      <c r="D40" s="7" t="str">
        <f>_xlfn.XLOOKUP(C40,'Part code'!A:A,'Part code'!D:D)</f>
        <v>Process A</v>
      </c>
      <c r="E40" s="23">
        <v>300</v>
      </c>
      <c r="F40">
        <f>SUMIFS('Eventos de perdida'!G:G,'Eventos de perdida'!D:D,A40,'Eventos de perdida'!E:E,B40,'Eventos de perdida'!F:F,C40)</f>
        <v>0</v>
      </c>
      <c r="G40">
        <f t="shared" si="0"/>
        <v>300</v>
      </c>
      <c r="H40" s="26">
        <f>ROUNDDOWN(E40/_xlfn.XLOOKUP(C40,'[1]Part code'!A:A,'[1]Part code'!C:C),0)</f>
        <v>300</v>
      </c>
      <c r="I40">
        <f>ROUNDDOWN(G40/_xlfn.XLOOKUP(C40,'[1]Part code'!A:A,'[1]Part code'!C:C),0)</f>
        <v>300</v>
      </c>
      <c r="J40">
        <v>5</v>
      </c>
      <c r="K40" s="29">
        <f>I40*_xlfn.XLOOKUP(C40,'Part code'!A:A,'Part code'!C:C)/G40</f>
        <v>1</v>
      </c>
    </row>
    <row r="41" spans="1:11">
      <c r="A41" s="9">
        <v>45478</v>
      </c>
      <c r="B41" s="7" t="s">
        <v>47</v>
      </c>
      <c r="C41" s="7" t="s">
        <v>27</v>
      </c>
      <c r="D41" s="7" t="str">
        <f>_xlfn.XLOOKUP(C41,'Part code'!A:A,'Part code'!D:D)</f>
        <v>Process B</v>
      </c>
      <c r="E41" s="23">
        <v>480</v>
      </c>
      <c r="F41">
        <f>SUMIFS('Eventos de perdida'!G:G,'Eventos de perdida'!D:D,A41,'Eventos de perdida'!E:E,B41,'Eventos de perdida'!F:F,C41)</f>
        <v>39</v>
      </c>
      <c r="G41">
        <f t="shared" si="0"/>
        <v>441</v>
      </c>
      <c r="H41" s="26">
        <f>ROUNDDOWN(E41/_xlfn.XLOOKUP(C41,'[1]Part code'!A:A,'[1]Part code'!C:C),0)</f>
        <v>533</v>
      </c>
      <c r="I41">
        <f>ROUNDDOWN(G41/_xlfn.XLOOKUP(C41,'[1]Part code'!A:A,'[1]Part code'!C:C),0)</f>
        <v>490</v>
      </c>
      <c r="J41">
        <v>0</v>
      </c>
      <c r="K41" s="29">
        <f>I41*_xlfn.XLOOKUP(C41,'Part code'!A:A,'Part code'!C:C)/G41</f>
        <v>1</v>
      </c>
    </row>
    <row r="42" spans="1:11">
      <c r="A42" s="9">
        <v>45478</v>
      </c>
      <c r="B42" s="7" t="s">
        <v>46</v>
      </c>
      <c r="C42" s="7" t="s">
        <v>29</v>
      </c>
      <c r="D42" s="7" t="str">
        <f>_xlfn.XLOOKUP(C42,'Part code'!A:A,'Part code'!D:D)</f>
        <v>Process B</v>
      </c>
      <c r="E42" s="23">
        <v>180</v>
      </c>
      <c r="F42">
        <f>SUMIFS('Eventos de perdida'!G:G,'Eventos de perdida'!D:D,A42,'Eventos de perdida'!E:E,B42,'Eventos de perdida'!F:F,C42)</f>
        <v>5</v>
      </c>
      <c r="G42">
        <f t="shared" si="0"/>
        <v>175</v>
      </c>
      <c r="H42" s="26">
        <f>ROUNDDOWN(E42/_xlfn.XLOOKUP(C42,'[1]Part code'!A:A,'[1]Part code'!C:C),0)</f>
        <v>189</v>
      </c>
      <c r="I42">
        <f>ROUNDDOWN(G42/_xlfn.XLOOKUP(C42,'[1]Part code'!A:A,'[1]Part code'!C:C),0)</f>
        <v>184</v>
      </c>
      <c r="J42">
        <v>1</v>
      </c>
      <c r="K42" s="29">
        <f>I42*_xlfn.XLOOKUP(C42,'Part code'!A:A,'Part code'!C:C)/G42</f>
        <v>0.99885714285714278</v>
      </c>
    </row>
    <row r="43" spans="1:11">
      <c r="A43" s="9">
        <v>45478</v>
      </c>
      <c r="B43" s="7" t="s">
        <v>46</v>
      </c>
      <c r="C43" s="7" t="s">
        <v>27</v>
      </c>
      <c r="D43" s="7" t="str">
        <f>_xlfn.XLOOKUP(C43,'Part code'!A:A,'Part code'!D:D)</f>
        <v>Process B</v>
      </c>
      <c r="E43" s="23">
        <v>300</v>
      </c>
      <c r="F43">
        <f>SUMIFS('Eventos de perdida'!G:G,'Eventos de perdida'!D:D,A43,'Eventos de perdida'!E:E,B43,'Eventos de perdida'!F:F,C43)</f>
        <v>0</v>
      </c>
      <c r="G43">
        <f t="shared" si="0"/>
        <v>300</v>
      </c>
      <c r="H43" s="26">
        <f>ROUNDDOWN(E43/_xlfn.XLOOKUP(C43,'[1]Part code'!A:A,'[1]Part code'!C:C),0)</f>
        <v>333</v>
      </c>
      <c r="I43">
        <f>ROUNDDOWN(G43/_xlfn.XLOOKUP(C43,'[1]Part code'!A:A,'[1]Part code'!C:C),0)</f>
        <v>333</v>
      </c>
      <c r="J43">
        <v>5</v>
      </c>
      <c r="K43" s="29">
        <f>I43*_xlfn.XLOOKUP(C43,'Part code'!A:A,'Part code'!C:C)/G43</f>
        <v>0.999</v>
      </c>
    </row>
    <row r="44" spans="1:11">
      <c r="A44" s="9">
        <v>45478</v>
      </c>
      <c r="B44" s="7" t="s">
        <v>47</v>
      </c>
      <c r="C44" s="7" t="s">
        <v>31</v>
      </c>
      <c r="D44" s="7" t="str">
        <f>_xlfn.XLOOKUP(C44,'Part code'!A:A,'Part code'!D:D)</f>
        <v>Process C</v>
      </c>
      <c r="E44" s="23">
        <v>480</v>
      </c>
      <c r="F44">
        <f>SUMIFS('Eventos de perdida'!G:G,'Eventos de perdida'!D:D,A44,'Eventos de perdida'!E:E,B44,'Eventos de perdida'!F:F,C44)</f>
        <v>33</v>
      </c>
      <c r="G44">
        <f t="shared" si="0"/>
        <v>447</v>
      </c>
      <c r="H44" s="26">
        <f>ROUNDDOWN(E44/_xlfn.XLOOKUP(C44,'[1]Part code'!A:A,'[1]Part code'!C:C),0)</f>
        <v>436</v>
      </c>
      <c r="I44">
        <f>ROUNDDOWN(G44/_xlfn.XLOOKUP(C44,'[1]Part code'!A:A,'[1]Part code'!C:C),0)</f>
        <v>406</v>
      </c>
      <c r="J44">
        <v>7</v>
      </c>
      <c r="K44" s="29">
        <f>I44*_xlfn.XLOOKUP(C44,'Part code'!A:A,'Part code'!C:C)/G44</f>
        <v>0.9991051454138703</v>
      </c>
    </row>
    <row r="45" spans="1:11">
      <c r="A45" s="9">
        <v>45478</v>
      </c>
      <c r="B45" s="7" t="s">
        <v>46</v>
      </c>
      <c r="C45" s="7" t="s">
        <v>33</v>
      </c>
      <c r="D45" s="7" t="str">
        <f>_xlfn.XLOOKUP(C45,'Part code'!A:A,'Part code'!D:D)</f>
        <v>Process C</v>
      </c>
      <c r="E45" s="23">
        <v>180</v>
      </c>
      <c r="F45">
        <f>SUMIFS('Eventos de perdida'!G:G,'Eventos de perdida'!D:D,A45,'Eventos de perdida'!E:E,B45,'Eventos de perdida'!F:F,C45)</f>
        <v>5</v>
      </c>
      <c r="G45">
        <f t="shared" si="0"/>
        <v>175</v>
      </c>
      <c r="H45" s="26">
        <f>ROUNDDOWN(E45/_xlfn.XLOOKUP(C45,'[1]Part code'!A:A,'[1]Part code'!C:C),0)</f>
        <v>150</v>
      </c>
      <c r="I45">
        <f>ROUNDDOWN(G45/_xlfn.XLOOKUP(C45,'[1]Part code'!A:A,'[1]Part code'!C:C),0)</f>
        <v>145</v>
      </c>
      <c r="J45">
        <v>6</v>
      </c>
      <c r="K45" s="29">
        <f>I45*_xlfn.XLOOKUP(C45,'Part code'!A:A,'Part code'!C:C)/G45</f>
        <v>0.99428571428571433</v>
      </c>
    </row>
    <row r="46" spans="1:11">
      <c r="A46" s="9">
        <v>45478</v>
      </c>
      <c r="B46" s="7" t="s">
        <v>46</v>
      </c>
      <c r="C46" s="7" t="s">
        <v>31</v>
      </c>
      <c r="D46" s="7" t="str">
        <f>_xlfn.XLOOKUP(C46,'Part code'!A:A,'Part code'!D:D)</f>
        <v>Process C</v>
      </c>
      <c r="E46" s="23">
        <v>300</v>
      </c>
      <c r="F46">
        <f>SUMIFS('Eventos de perdida'!G:G,'Eventos de perdida'!D:D,A46,'Eventos de perdida'!E:E,B46,'Eventos de perdida'!F:F,C46)</f>
        <v>0</v>
      </c>
      <c r="G46">
        <f t="shared" si="0"/>
        <v>300</v>
      </c>
      <c r="H46" s="26">
        <f>ROUNDDOWN(E46/_xlfn.XLOOKUP(C46,'[1]Part code'!A:A,'[1]Part code'!C:C),0)</f>
        <v>272</v>
      </c>
      <c r="I46">
        <f>ROUNDDOWN(G46/_xlfn.XLOOKUP(C46,'[1]Part code'!A:A,'[1]Part code'!C:C),0)</f>
        <v>272</v>
      </c>
      <c r="J46">
        <v>2</v>
      </c>
      <c r="K46" s="29">
        <f>I46*_xlfn.XLOOKUP(C46,'Part code'!A:A,'Part code'!C:C)/G46</f>
        <v>0.99733333333333352</v>
      </c>
    </row>
    <row r="47" spans="1:11">
      <c r="A47" s="9">
        <v>45481</v>
      </c>
      <c r="B47" s="7" t="s">
        <v>46</v>
      </c>
      <c r="C47" s="7" t="s">
        <v>25</v>
      </c>
      <c r="D47" s="7" t="str">
        <f>_xlfn.XLOOKUP(C47,'Part code'!A:A,'Part code'!D:D)</f>
        <v>Process A</v>
      </c>
      <c r="E47" s="23">
        <v>480</v>
      </c>
      <c r="F47">
        <f>SUMIFS('Eventos de perdida'!G:G,'Eventos de perdida'!D:D,A47,'Eventos de perdida'!E:E,B47,'Eventos de perdida'!F:F,C47)</f>
        <v>45</v>
      </c>
      <c r="G47">
        <f t="shared" si="0"/>
        <v>435</v>
      </c>
      <c r="H47" s="26">
        <f>ROUNDDOWN(E47/_xlfn.XLOOKUP(C47,'[1]Part code'!A:A,'[1]Part code'!C:C),0)</f>
        <v>480</v>
      </c>
      <c r="I47">
        <f>ROUNDDOWN(G47/_xlfn.XLOOKUP(C47,'[1]Part code'!A:A,'[1]Part code'!C:C),0)</f>
        <v>435</v>
      </c>
      <c r="J47">
        <v>1</v>
      </c>
      <c r="K47" s="29">
        <f>I47*_xlfn.XLOOKUP(C47,'Part code'!A:A,'Part code'!C:C)/G47</f>
        <v>1</v>
      </c>
    </row>
    <row r="48" spans="1:11">
      <c r="A48" s="9">
        <v>45481</v>
      </c>
      <c r="B48" s="7" t="s">
        <v>47</v>
      </c>
      <c r="C48" s="7" t="s">
        <v>25</v>
      </c>
      <c r="D48" s="7" t="str">
        <f>_xlfn.XLOOKUP(C48,'Part code'!A:A,'Part code'!D:D)</f>
        <v>Process A</v>
      </c>
      <c r="E48" s="23">
        <v>280</v>
      </c>
      <c r="F48">
        <f>SUMIFS('Eventos de perdida'!G:G,'Eventos de perdida'!D:D,A48,'Eventos de perdida'!E:E,B48,'Eventos de perdida'!F:F,C48)</f>
        <v>41</v>
      </c>
      <c r="G48">
        <f t="shared" si="0"/>
        <v>239</v>
      </c>
      <c r="H48" s="26">
        <f>ROUNDDOWN(E48/_xlfn.XLOOKUP(C48,'[1]Part code'!A:A,'[1]Part code'!C:C),0)</f>
        <v>280</v>
      </c>
      <c r="I48">
        <f>ROUNDDOWN(G48/_xlfn.XLOOKUP(C48,'[1]Part code'!A:A,'[1]Part code'!C:C),0)</f>
        <v>239</v>
      </c>
      <c r="J48">
        <v>1</v>
      </c>
      <c r="K48" s="29">
        <f>I48*_xlfn.XLOOKUP(C48,'Part code'!A:A,'Part code'!C:C)/G48</f>
        <v>1</v>
      </c>
    </row>
    <row r="49" spans="1:11">
      <c r="A49" s="9">
        <v>45481</v>
      </c>
      <c r="B49" s="7" t="s">
        <v>47</v>
      </c>
      <c r="C49" s="7" t="s">
        <v>23</v>
      </c>
      <c r="D49" s="7" t="str">
        <f>_xlfn.XLOOKUP(C49,'Part code'!A:A,'Part code'!D:D)</f>
        <v>Process A</v>
      </c>
      <c r="E49" s="23">
        <v>200</v>
      </c>
      <c r="F49">
        <f>SUMIFS('Eventos de perdida'!G:G,'Eventos de perdida'!D:D,A49,'Eventos de perdida'!E:E,B49,'Eventos de perdida'!F:F,C49)</f>
        <v>21</v>
      </c>
      <c r="G49">
        <f t="shared" si="0"/>
        <v>179</v>
      </c>
      <c r="H49" s="26">
        <f>ROUNDDOWN(E49/_xlfn.XLOOKUP(C49,'[1]Part code'!A:A,'[1]Part code'!C:C),0)</f>
        <v>200</v>
      </c>
      <c r="I49">
        <f>ROUNDDOWN(G49/_xlfn.XLOOKUP(C49,'[1]Part code'!A:A,'[1]Part code'!C:C),0)</f>
        <v>179</v>
      </c>
      <c r="J49">
        <v>5</v>
      </c>
      <c r="K49" s="29">
        <f>I49*_xlfn.XLOOKUP(C49,'Part code'!A:A,'Part code'!C:C)/G49</f>
        <v>1</v>
      </c>
    </row>
    <row r="50" spans="1:11">
      <c r="A50" s="9">
        <v>45481</v>
      </c>
      <c r="B50" s="7" t="s">
        <v>46</v>
      </c>
      <c r="C50" s="7" t="s">
        <v>29</v>
      </c>
      <c r="D50" s="7" t="str">
        <f>_xlfn.XLOOKUP(C50,'Part code'!A:A,'Part code'!D:D)</f>
        <v>Process B</v>
      </c>
      <c r="E50" s="23">
        <v>480</v>
      </c>
      <c r="F50">
        <f>SUMIFS('Eventos de perdida'!G:G,'Eventos de perdida'!D:D,A50,'Eventos de perdida'!E:E,B50,'Eventos de perdida'!F:F,C50)</f>
        <v>7</v>
      </c>
      <c r="G50">
        <f t="shared" si="0"/>
        <v>473</v>
      </c>
      <c r="H50" s="26">
        <f>ROUNDDOWN(E50/_xlfn.XLOOKUP(C50,'[1]Part code'!A:A,'[1]Part code'!C:C),0)</f>
        <v>505</v>
      </c>
      <c r="I50">
        <f>ROUNDDOWN(G50/_xlfn.XLOOKUP(C50,'[1]Part code'!A:A,'[1]Part code'!C:C),0)</f>
        <v>497</v>
      </c>
      <c r="J50">
        <v>1</v>
      </c>
      <c r="K50" s="29">
        <f>I50*_xlfn.XLOOKUP(C50,'Part code'!A:A,'Part code'!C:C)/G50</f>
        <v>0.99820295983086671</v>
      </c>
    </row>
    <row r="51" spans="1:11">
      <c r="A51" s="9">
        <v>45481</v>
      </c>
      <c r="B51" s="7" t="s">
        <v>47</v>
      </c>
      <c r="C51" s="7" t="s">
        <v>27</v>
      </c>
      <c r="D51" s="7" t="str">
        <f>_xlfn.XLOOKUP(C51,'Part code'!A:A,'Part code'!D:D)</f>
        <v>Process B</v>
      </c>
      <c r="E51" s="23">
        <v>280</v>
      </c>
      <c r="F51">
        <f>SUMIFS('Eventos de perdida'!G:G,'Eventos de perdida'!D:D,A51,'Eventos de perdida'!E:E,B51,'Eventos de perdida'!F:F,C51)</f>
        <v>0</v>
      </c>
      <c r="G51">
        <f t="shared" si="0"/>
        <v>280</v>
      </c>
      <c r="H51" s="26">
        <f>ROUNDDOWN(E51/_xlfn.XLOOKUP(C51,'[1]Part code'!A:A,'[1]Part code'!C:C),0)</f>
        <v>311</v>
      </c>
      <c r="I51">
        <f>ROUNDDOWN(G51/_xlfn.XLOOKUP(C51,'[1]Part code'!A:A,'[1]Part code'!C:C),0)</f>
        <v>311</v>
      </c>
      <c r="J51">
        <v>2</v>
      </c>
      <c r="K51" s="29">
        <f>I51*_xlfn.XLOOKUP(C51,'Part code'!A:A,'Part code'!C:C)/G51</f>
        <v>0.99964285714285728</v>
      </c>
    </row>
    <row r="52" spans="1:11">
      <c r="A52" s="9">
        <v>45481</v>
      </c>
      <c r="B52" s="7" t="s">
        <v>47</v>
      </c>
      <c r="C52" s="7" t="s">
        <v>29</v>
      </c>
      <c r="D52" s="7" t="str">
        <f>_xlfn.XLOOKUP(C52,'Part code'!A:A,'Part code'!D:D)</f>
        <v>Process B</v>
      </c>
      <c r="E52" s="23">
        <v>200</v>
      </c>
      <c r="F52">
        <f>SUMIFS('Eventos de perdida'!G:G,'Eventos de perdida'!D:D,A52,'Eventos de perdida'!E:E,B52,'Eventos de perdida'!F:F,C52)</f>
        <v>0</v>
      </c>
      <c r="G52">
        <f t="shared" si="0"/>
        <v>200</v>
      </c>
      <c r="H52" s="26">
        <f>ROUNDDOWN(E52/_xlfn.XLOOKUP(C52,'[1]Part code'!A:A,'[1]Part code'!C:C),0)</f>
        <v>210</v>
      </c>
      <c r="I52">
        <f>ROUNDDOWN(G52/_xlfn.XLOOKUP(C52,'[1]Part code'!A:A,'[1]Part code'!C:C),0)</f>
        <v>210</v>
      </c>
      <c r="J52">
        <v>0</v>
      </c>
      <c r="K52" s="29">
        <f>I52*_xlfn.XLOOKUP(C52,'Part code'!A:A,'Part code'!C:C)/G52</f>
        <v>0.99750000000000005</v>
      </c>
    </row>
    <row r="53" spans="1:11">
      <c r="A53" s="9">
        <v>45481</v>
      </c>
      <c r="B53" s="7" t="s">
        <v>46</v>
      </c>
      <c r="C53" s="7" t="s">
        <v>33</v>
      </c>
      <c r="D53" s="7" t="str">
        <f>_xlfn.XLOOKUP(C53,'Part code'!A:A,'Part code'!D:D)</f>
        <v>Process C</v>
      </c>
      <c r="E53" s="23">
        <v>480</v>
      </c>
      <c r="F53">
        <f>SUMIFS('Eventos de perdida'!G:G,'Eventos de perdida'!D:D,A53,'Eventos de perdida'!E:E,B53,'Eventos de perdida'!F:F,C53)</f>
        <v>0</v>
      </c>
      <c r="G53">
        <f t="shared" si="0"/>
        <v>480</v>
      </c>
      <c r="H53" s="26">
        <f>ROUNDDOWN(E53/_xlfn.XLOOKUP(C53,'[1]Part code'!A:A,'[1]Part code'!C:C),0)</f>
        <v>400</v>
      </c>
      <c r="I53">
        <f>ROUNDDOWN(G53/_xlfn.XLOOKUP(C53,'[1]Part code'!A:A,'[1]Part code'!C:C),0)</f>
        <v>400</v>
      </c>
      <c r="J53">
        <v>1</v>
      </c>
      <c r="K53" s="29">
        <f>I53*_xlfn.XLOOKUP(C53,'Part code'!A:A,'Part code'!C:C)/G53</f>
        <v>1</v>
      </c>
    </row>
    <row r="54" spans="1:11">
      <c r="A54" s="9">
        <v>45481</v>
      </c>
      <c r="B54" s="7" t="s">
        <v>47</v>
      </c>
      <c r="C54" s="7" t="s">
        <v>31</v>
      </c>
      <c r="D54" s="7" t="str">
        <f>_xlfn.XLOOKUP(C54,'Part code'!A:A,'Part code'!D:D)</f>
        <v>Process C</v>
      </c>
      <c r="E54" s="23">
        <v>280</v>
      </c>
      <c r="F54">
        <f>SUMIFS('Eventos de perdida'!G:G,'Eventos de perdida'!D:D,A54,'Eventos de perdida'!E:E,B54,'Eventos de perdida'!F:F,C54)</f>
        <v>0</v>
      </c>
      <c r="G54">
        <f t="shared" si="0"/>
        <v>280</v>
      </c>
      <c r="H54" s="26">
        <f>ROUNDDOWN(E54/_xlfn.XLOOKUP(C54,'[1]Part code'!A:A,'[1]Part code'!C:C),0)</f>
        <v>254</v>
      </c>
      <c r="I54">
        <f>ROUNDDOWN(G54/_xlfn.XLOOKUP(C54,'[1]Part code'!A:A,'[1]Part code'!C:C),0)</f>
        <v>254</v>
      </c>
      <c r="J54">
        <v>6</v>
      </c>
      <c r="K54" s="29">
        <f>I54*_xlfn.XLOOKUP(C54,'Part code'!A:A,'Part code'!C:C)/G54</f>
        <v>0.997857142857143</v>
      </c>
    </row>
    <row r="55" spans="1:11">
      <c r="A55" s="9">
        <v>45481</v>
      </c>
      <c r="B55" s="7" t="s">
        <v>47</v>
      </c>
      <c r="C55" s="7" t="s">
        <v>33</v>
      </c>
      <c r="D55" s="7" t="str">
        <f>_xlfn.XLOOKUP(C55,'Part code'!A:A,'Part code'!D:D)</f>
        <v>Process C</v>
      </c>
      <c r="E55" s="23">
        <v>200</v>
      </c>
      <c r="F55">
        <f>SUMIFS('Eventos de perdida'!G:G,'Eventos de perdida'!D:D,A55,'Eventos de perdida'!E:E,B55,'Eventos de perdida'!F:F,C55)</f>
        <v>18</v>
      </c>
      <c r="G55">
        <f t="shared" si="0"/>
        <v>182</v>
      </c>
      <c r="H55" s="26">
        <f>ROUNDDOWN(E55/_xlfn.XLOOKUP(C55,'[1]Part code'!A:A,'[1]Part code'!C:C),0)</f>
        <v>166</v>
      </c>
      <c r="I55">
        <f>ROUNDDOWN(G55/_xlfn.XLOOKUP(C55,'[1]Part code'!A:A,'[1]Part code'!C:C),0)</f>
        <v>151</v>
      </c>
      <c r="J55">
        <v>5</v>
      </c>
      <c r="K55" s="29">
        <f>I55*_xlfn.XLOOKUP(C55,'Part code'!A:A,'Part code'!C:C)/G55</f>
        <v>0.99560439560439551</v>
      </c>
    </row>
    <row r="56" spans="1:11">
      <c r="A56" s="9">
        <v>45482</v>
      </c>
      <c r="B56" s="7" t="s">
        <v>46</v>
      </c>
      <c r="C56" s="7" t="s">
        <v>23</v>
      </c>
      <c r="D56" s="7" t="str">
        <f>_xlfn.XLOOKUP(C56,'Part code'!A:A,'Part code'!D:D)</f>
        <v>Process A</v>
      </c>
      <c r="E56" s="23">
        <v>480</v>
      </c>
      <c r="F56">
        <f>SUMIFS('Eventos de perdida'!G:G,'Eventos de perdida'!D:D,A56,'Eventos de perdida'!E:E,B56,'Eventos de perdida'!F:F,C56)</f>
        <v>10</v>
      </c>
      <c r="G56">
        <f t="shared" si="0"/>
        <v>470</v>
      </c>
      <c r="H56" s="26">
        <f>ROUNDDOWN(E56/_xlfn.XLOOKUP(C56,'[1]Part code'!A:A,'[1]Part code'!C:C),0)</f>
        <v>480</v>
      </c>
      <c r="I56">
        <f>ROUNDDOWN(G56/_xlfn.XLOOKUP(C56,'[1]Part code'!A:A,'[1]Part code'!C:C),0)</f>
        <v>470</v>
      </c>
      <c r="J56">
        <v>1</v>
      </c>
      <c r="K56" s="29">
        <f>I56*_xlfn.XLOOKUP(C56,'Part code'!A:A,'Part code'!C:C)/G56</f>
        <v>1</v>
      </c>
    </row>
    <row r="57" spans="1:11">
      <c r="A57" s="9">
        <v>45482</v>
      </c>
      <c r="B57" s="7" t="s">
        <v>47</v>
      </c>
      <c r="C57" s="7" t="s">
        <v>23</v>
      </c>
      <c r="D57" s="7" t="str">
        <f>_xlfn.XLOOKUP(C57,'Part code'!A:A,'Part code'!D:D)</f>
        <v>Process A</v>
      </c>
      <c r="E57" s="23">
        <v>180</v>
      </c>
      <c r="F57">
        <f>SUMIFS('Eventos de perdida'!G:G,'Eventos de perdida'!D:D,A57,'Eventos de perdida'!E:E,B57,'Eventos de perdida'!F:F,C57)</f>
        <v>0</v>
      </c>
      <c r="G57">
        <f t="shared" si="0"/>
        <v>180</v>
      </c>
      <c r="H57" s="26">
        <f>ROUNDDOWN(E57/_xlfn.XLOOKUP(C57,'[1]Part code'!A:A,'[1]Part code'!C:C),0)</f>
        <v>180</v>
      </c>
      <c r="I57">
        <f>ROUNDDOWN(G57/_xlfn.XLOOKUP(C57,'[1]Part code'!A:A,'[1]Part code'!C:C),0)</f>
        <v>180</v>
      </c>
      <c r="J57">
        <v>6</v>
      </c>
      <c r="K57" s="29">
        <f>I57*_xlfn.XLOOKUP(C57,'Part code'!A:A,'Part code'!C:C)/G57</f>
        <v>1</v>
      </c>
    </row>
    <row r="58" spans="1:11">
      <c r="A58" s="9">
        <v>45482</v>
      </c>
      <c r="B58" s="7" t="s">
        <v>47</v>
      </c>
      <c r="C58" s="7" t="s">
        <v>25</v>
      </c>
      <c r="D58" s="7" t="str">
        <f>_xlfn.XLOOKUP(C58,'Part code'!A:A,'Part code'!D:D)</f>
        <v>Process A</v>
      </c>
      <c r="E58" s="23">
        <v>300</v>
      </c>
      <c r="F58">
        <f>SUMIFS('Eventos de perdida'!G:G,'Eventos de perdida'!D:D,A58,'Eventos de perdida'!E:E,B58,'Eventos de perdida'!F:F,C58)</f>
        <v>0</v>
      </c>
      <c r="G58">
        <f t="shared" si="0"/>
        <v>300</v>
      </c>
      <c r="H58" s="26">
        <f>ROUNDDOWN(E58/_xlfn.XLOOKUP(C58,'[1]Part code'!A:A,'[1]Part code'!C:C),0)</f>
        <v>300</v>
      </c>
      <c r="I58">
        <f>ROUNDDOWN(G58/_xlfn.XLOOKUP(C58,'[1]Part code'!A:A,'[1]Part code'!C:C),0)</f>
        <v>300</v>
      </c>
      <c r="J58">
        <v>7</v>
      </c>
      <c r="K58" s="29">
        <f>I58*_xlfn.XLOOKUP(C58,'Part code'!A:A,'Part code'!C:C)/G58</f>
        <v>1</v>
      </c>
    </row>
    <row r="59" spans="1:11">
      <c r="A59" s="9">
        <v>45482</v>
      </c>
      <c r="B59" s="7" t="s">
        <v>46</v>
      </c>
      <c r="C59" s="7" t="s">
        <v>27</v>
      </c>
      <c r="D59" s="7" t="str">
        <f>_xlfn.XLOOKUP(C59,'Part code'!A:A,'Part code'!D:D)</f>
        <v>Process B</v>
      </c>
      <c r="E59" s="23">
        <v>480</v>
      </c>
      <c r="F59">
        <f>SUMIFS('Eventos de perdida'!G:G,'Eventos de perdida'!D:D,A59,'Eventos de perdida'!E:E,B59,'Eventos de perdida'!F:F,C59)</f>
        <v>0</v>
      </c>
      <c r="G59">
        <f t="shared" si="0"/>
        <v>480</v>
      </c>
      <c r="H59" s="26">
        <f>ROUNDDOWN(E59/_xlfn.XLOOKUP(C59,'[1]Part code'!A:A,'[1]Part code'!C:C),0)</f>
        <v>533</v>
      </c>
      <c r="I59">
        <f>ROUNDDOWN(G59/_xlfn.XLOOKUP(C59,'[1]Part code'!A:A,'[1]Part code'!C:C),0)</f>
        <v>533</v>
      </c>
      <c r="J59">
        <v>1</v>
      </c>
      <c r="K59" s="29">
        <f>I59*_xlfn.XLOOKUP(C59,'Part code'!A:A,'Part code'!C:C)/G59</f>
        <v>0.99937500000000001</v>
      </c>
    </row>
    <row r="60" spans="1:11">
      <c r="A60" s="9">
        <v>45482</v>
      </c>
      <c r="B60" s="7" t="s">
        <v>47</v>
      </c>
      <c r="C60" s="7" t="s">
        <v>29</v>
      </c>
      <c r="D60" s="7" t="str">
        <f>_xlfn.XLOOKUP(C60,'Part code'!A:A,'Part code'!D:D)</f>
        <v>Process B</v>
      </c>
      <c r="E60" s="23">
        <v>180</v>
      </c>
      <c r="F60">
        <f>SUMIFS('Eventos de perdida'!G:G,'Eventos de perdida'!D:D,A60,'Eventos de perdida'!E:E,B60,'Eventos de perdida'!F:F,C60)</f>
        <v>10</v>
      </c>
      <c r="G60">
        <f t="shared" si="0"/>
        <v>170</v>
      </c>
      <c r="H60" s="26">
        <f>ROUNDDOWN(E60/_xlfn.XLOOKUP(C60,'[1]Part code'!A:A,'[1]Part code'!C:C),0)</f>
        <v>189</v>
      </c>
      <c r="I60">
        <f>ROUNDDOWN(G60/_xlfn.XLOOKUP(C60,'[1]Part code'!A:A,'[1]Part code'!C:C),0)</f>
        <v>178</v>
      </c>
      <c r="J60">
        <v>3</v>
      </c>
      <c r="K60" s="29">
        <f>I60*_xlfn.XLOOKUP(C60,'Part code'!A:A,'Part code'!C:C)/G60</f>
        <v>0.99470588235294111</v>
      </c>
    </row>
    <row r="61" spans="1:11">
      <c r="A61" s="9">
        <v>45482</v>
      </c>
      <c r="B61" s="7" t="s">
        <v>47</v>
      </c>
      <c r="C61" s="7" t="s">
        <v>27</v>
      </c>
      <c r="D61" s="7" t="str">
        <f>_xlfn.XLOOKUP(C61,'Part code'!A:A,'Part code'!D:D)</f>
        <v>Process B</v>
      </c>
      <c r="E61" s="23">
        <v>300</v>
      </c>
      <c r="F61">
        <f>SUMIFS('Eventos de perdida'!G:G,'Eventos de perdida'!D:D,A61,'Eventos de perdida'!E:E,B61,'Eventos de perdida'!F:F,C61)</f>
        <v>0</v>
      </c>
      <c r="G61">
        <f t="shared" si="0"/>
        <v>300</v>
      </c>
      <c r="H61" s="26">
        <f>ROUNDDOWN(E61/_xlfn.XLOOKUP(C61,'[1]Part code'!A:A,'[1]Part code'!C:C),0)</f>
        <v>333</v>
      </c>
      <c r="I61">
        <f>ROUNDDOWN(G61/_xlfn.XLOOKUP(C61,'[1]Part code'!A:A,'[1]Part code'!C:C),0)</f>
        <v>333</v>
      </c>
      <c r="J61">
        <v>6</v>
      </c>
      <c r="K61" s="29">
        <f>I61*_xlfn.XLOOKUP(C61,'Part code'!A:A,'Part code'!C:C)/G61</f>
        <v>0.999</v>
      </c>
    </row>
    <row r="62" spans="1:11">
      <c r="A62" s="9">
        <v>45482</v>
      </c>
      <c r="B62" s="7" t="s">
        <v>47</v>
      </c>
      <c r="C62" s="7" t="s">
        <v>31</v>
      </c>
      <c r="D62" s="7" t="str">
        <f>_xlfn.XLOOKUP(C62,'Part code'!A:A,'Part code'!D:D)</f>
        <v>Process C</v>
      </c>
      <c r="E62" s="23">
        <v>480</v>
      </c>
      <c r="F62">
        <f>SUMIFS('Eventos de perdida'!G:G,'Eventos de perdida'!D:D,A62,'Eventos de perdida'!E:E,B62,'Eventos de perdida'!F:F,C62)</f>
        <v>0</v>
      </c>
      <c r="G62">
        <f t="shared" si="0"/>
        <v>480</v>
      </c>
      <c r="H62" s="26">
        <f>ROUNDDOWN(E62/_xlfn.XLOOKUP(C62,'[1]Part code'!A:A,'[1]Part code'!C:C),0)</f>
        <v>436</v>
      </c>
      <c r="I62">
        <f>ROUNDDOWN(G62/_xlfn.XLOOKUP(C62,'[1]Part code'!A:A,'[1]Part code'!C:C),0)</f>
        <v>436</v>
      </c>
      <c r="J62">
        <v>5</v>
      </c>
      <c r="K62" s="29">
        <f>I62*_xlfn.XLOOKUP(C62,'Part code'!A:A,'Part code'!C:C)/G62</f>
        <v>0.99916666666666676</v>
      </c>
    </row>
    <row r="63" spans="1:11">
      <c r="A63" s="9">
        <v>45482</v>
      </c>
      <c r="B63" s="7" t="s">
        <v>46</v>
      </c>
      <c r="C63" s="7" t="s">
        <v>33</v>
      </c>
      <c r="D63" s="7" t="str">
        <f>_xlfn.XLOOKUP(C63,'Part code'!A:A,'Part code'!D:D)</f>
        <v>Process C</v>
      </c>
      <c r="E63" s="23">
        <v>180</v>
      </c>
      <c r="F63">
        <f>SUMIFS('Eventos de perdida'!G:G,'Eventos de perdida'!D:D,A63,'Eventos de perdida'!E:E,B63,'Eventos de perdida'!F:F,C63)</f>
        <v>10</v>
      </c>
      <c r="G63">
        <f t="shared" si="0"/>
        <v>170</v>
      </c>
      <c r="H63" s="26">
        <f>ROUNDDOWN(E63/_xlfn.XLOOKUP(C63,'[1]Part code'!A:A,'[1]Part code'!C:C),0)</f>
        <v>150</v>
      </c>
      <c r="I63">
        <f>ROUNDDOWN(G63/_xlfn.XLOOKUP(C63,'[1]Part code'!A:A,'[1]Part code'!C:C),0)</f>
        <v>141</v>
      </c>
      <c r="J63">
        <v>1</v>
      </c>
      <c r="K63" s="29">
        <f>I63*_xlfn.XLOOKUP(C63,'Part code'!A:A,'Part code'!C:C)/G63</f>
        <v>0.99529411764705877</v>
      </c>
    </row>
    <row r="64" spans="1:11">
      <c r="A64" s="9">
        <v>45482</v>
      </c>
      <c r="B64" s="7" t="s">
        <v>46</v>
      </c>
      <c r="C64" s="7" t="s">
        <v>31</v>
      </c>
      <c r="D64" s="7" t="str">
        <f>_xlfn.XLOOKUP(C64,'Part code'!A:A,'Part code'!D:D)</f>
        <v>Process C</v>
      </c>
      <c r="E64" s="23">
        <v>300</v>
      </c>
      <c r="F64">
        <f>SUMIFS('Eventos de perdida'!G:G,'Eventos de perdida'!D:D,A64,'Eventos de perdida'!E:E,B64,'Eventos de perdida'!F:F,C64)</f>
        <v>5</v>
      </c>
      <c r="G64">
        <f t="shared" si="0"/>
        <v>295</v>
      </c>
      <c r="H64" s="26">
        <f>ROUNDDOWN(E64/_xlfn.XLOOKUP(C64,'[1]Part code'!A:A,'[1]Part code'!C:C),0)</f>
        <v>272</v>
      </c>
      <c r="I64">
        <f>ROUNDDOWN(G64/_xlfn.XLOOKUP(C64,'[1]Part code'!A:A,'[1]Part code'!C:C),0)</f>
        <v>268</v>
      </c>
      <c r="J64">
        <v>5</v>
      </c>
      <c r="K64" s="29">
        <f>I64*_xlfn.XLOOKUP(C64,'Part code'!A:A,'Part code'!C:C)/G64</f>
        <v>0.9993220338983051</v>
      </c>
    </row>
    <row r="65" spans="1:11">
      <c r="A65" s="9">
        <v>45483</v>
      </c>
      <c r="B65" s="7" t="s">
        <v>47</v>
      </c>
      <c r="C65" s="7" t="s">
        <v>23</v>
      </c>
      <c r="D65" s="7" t="str">
        <f>_xlfn.XLOOKUP(C65,'Part code'!A:A,'Part code'!D:D)</f>
        <v>Process A</v>
      </c>
      <c r="E65">
        <v>280</v>
      </c>
      <c r="F65">
        <f>SUMIFS('Eventos de perdida'!G:G,'Eventos de perdida'!D:D,A65,'Eventos de perdida'!E:E,B65,'Eventos de perdida'!F:F,C65)</f>
        <v>0</v>
      </c>
      <c r="G65">
        <f t="shared" si="0"/>
        <v>280</v>
      </c>
      <c r="H65" s="26">
        <f>ROUNDDOWN(E65/_xlfn.XLOOKUP(C65,'[1]Part code'!A:A,'[1]Part code'!C:C),0)</f>
        <v>280</v>
      </c>
      <c r="I65">
        <f>ROUNDDOWN(G65/_xlfn.XLOOKUP(C65,'[1]Part code'!A:A,'[1]Part code'!C:C),0)</f>
        <v>280</v>
      </c>
      <c r="J65">
        <v>2</v>
      </c>
      <c r="K65" s="29">
        <f>I65*_xlfn.XLOOKUP(C65,'Part code'!A:A,'Part code'!C:C)/G65</f>
        <v>1</v>
      </c>
    </row>
    <row r="66" spans="1:11">
      <c r="A66" s="9">
        <v>45483</v>
      </c>
      <c r="B66" s="7" t="s">
        <v>47</v>
      </c>
      <c r="C66" s="7" t="s">
        <v>25</v>
      </c>
      <c r="D66" s="7" t="str">
        <f>_xlfn.XLOOKUP(C66,'Part code'!A:A,'Part code'!D:D)</f>
        <v>Process A</v>
      </c>
      <c r="E66">
        <v>200</v>
      </c>
      <c r="F66">
        <f>SUMIFS('Eventos de perdida'!G:G,'Eventos de perdida'!D:D,A66,'Eventos de perdida'!E:E,B66,'Eventos de perdida'!F:F,C66)</f>
        <v>30</v>
      </c>
      <c r="G66">
        <f t="shared" si="0"/>
        <v>170</v>
      </c>
      <c r="H66" s="26">
        <f>ROUNDDOWN(E66/_xlfn.XLOOKUP(C66,'[1]Part code'!A:A,'[1]Part code'!C:C),0)</f>
        <v>200</v>
      </c>
      <c r="I66">
        <f>ROUNDDOWN(G66/_xlfn.XLOOKUP(C66,'[1]Part code'!A:A,'[1]Part code'!C:C),0)</f>
        <v>170</v>
      </c>
      <c r="J66">
        <v>7</v>
      </c>
      <c r="K66" s="29">
        <f>I66*_xlfn.XLOOKUP(C66,'Part code'!A:A,'Part code'!C:C)/G66</f>
        <v>1</v>
      </c>
    </row>
    <row r="67" spans="1:11">
      <c r="A67" s="9">
        <v>45483</v>
      </c>
      <c r="B67" s="7" t="s">
        <v>46</v>
      </c>
      <c r="C67" s="7" t="s">
        <v>23</v>
      </c>
      <c r="D67" s="7" t="str">
        <f>_xlfn.XLOOKUP(C67,'Part code'!A:A,'Part code'!D:D)</f>
        <v>Process A</v>
      </c>
      <c r="E67" s="23">
        <v>480</v>
      </c>
      <c r="F67">
        <f>SUMIFS('Eventos de perdida'!G:G,'Eventos de perdida'!D:D,A67,'Eventos de perdida'!E:E,B67,'Eventos de perdida'!F:F,C67)</f>
        <v>0</v>
      </c>
      <c r="G67">
        <f t="shared" ref="G67:G130" si="1">E67-F67</f>
        <v>480</v>
      </c>
      <c r="H67" s="26">
        <f>ROUNDDOWN(E67/_xlfn.XLOOKUP(C67,'[1]Part code'!A:A,'[1]Part code'!C:C),0)</f>
        <v>480</v>
      </c>
      <c r="I67">
        <f>ROUNDDOWN(G67/_xlfn.XLOOKUP(C67,'[1]Part code'!A:A,'[1]Part code'!C:C),0)</f>
        <v>480</v>
      </c>
      <c r="J67">
        <v>5</v>
      </c>
      <c r="K67" s="29">
        <f>I67*_xlfn.XLOOKUP(C67,'Part code'!A:A,'Part code'!C:C)/G67</f>
        <v>1</v>
      </c>
    </row>
    <row r="68" spans="1:11">
      <c r="A68" s="9">
        <v>45483</v>
      </c>
      <c r="B68" s="7" t="s">
        <v>47</v>
      </c>
      <c r="C68" s="7" t="s">
        <v>29</v>
      </c>
      <c r="D68" s="7" t="str">
        <f>_xlfn.XLOOKUP(C68,'Part code'!A:A,'Part code'!D:D)</f>
        <v>Process B</v>
      </c>
      <c r="E68">
        <v>280</v>
      </c>
      <c r="F68">
        <f>SUMIFS('Eventos de perdida'!G:G,'Eventos de perdida'!D:D,A68,'Eventos de perdida'!E:E,B68,'Eventos de perdida'!F:F,C68)</f>
        <v>0</v>
      </c>
      <c r="G68">
        <f t="shared" si="1"/>
        <v>280</v>
      </c>
      <c r="H68" s="26">
        <f>ROUNDDOWN(E68/_xlfn.XLOOKUP(C68,'[1]Part code'!A:A,'[1]Part code'!C:C),0)</f>
        <v>294</v>
      </c>
      <c r="I68">
        <f>ROUNDDOWN(G68/_xlfn.XLOOKUP(C68,'[1]Part code'!A:A,'[1]Part code'!C:C),0)</f>
        <v>294</v>
      </c>
      <c r="J68">
        <v>2</v>
      </c>
      <c r="K68" s="29">
        <f>I68*_xlfn.XLOOKUP(C68,'Part code'!A:A,'Part code'!C:C)/G68</f>
        <v>0.99750000000000005</v>
      </c>
    </row>
    <row r="69" spans="1:11">
      <c r="A69" s="9">
        <v>45483</v>
      </c>
      <c r="B69" s="7" t="s">
        <v>47</v>
      </c>
      <c r="C69" s="7" t="s">
        <v>27</v>
      </c>
      <c r="D69" s="7" t="str">
        <f>_xlfn.XLOOKUP(C69,'Part code'!A:A,'Part code'!D:D)</f>
        <v>Process B</v>
      </c>
      <c r="E69">
        <v>200</v>
      </c>
      <c r="F69">
        <f>SUMIFS('Eventos de perdida'!G:G,'Eventos de perdida'!D:D,A69,'Eventos de perdida'!E:E,B69,'Eventos de perdida'!F:F,C69)</f>
        <v>34</v>
      </c>
      <c r="G69">
        <f t="shared" si="1"/>
        <v>166</v>
      </c>
      <c r="H69" s="26">
        <f>ROUNDDOWN(E69/_xlfn.XLOOKUP(C69,'[1]Part code'!A:A,'[1]Part code'!C:C),0)</f>
        <v>222</v>
      </c>
      <c r="I69">
        <f>ROUNDDOWN(G69/_xlfn.XLOOKUP(C69,'[1]Part code'!A:A,'[1]Part code'!C:C),0)</f>
        <v>184</v>
      </c>
      <c r="J69">
        <v>1</v>
      </c>
      <c r="K69" s="29">
        <f>I69*_xlfn.XLOOKUP(C69,'Part code'!A:A,'Part code'!C:C)/G69</f>
        <v>0.99759036144578306</v>
      </c>
    </row>
    <row r="70" spans="1:11">
      <c r="A70" s="9">
        <v>45483</v>
      </c>
      <c r="B70" s="7" t="s">
        <v>46</v>
      </c>
      <c r="C70" s="7" t="s">
        <v>29</v>
      </c>
      <c r="D70" s="7" t="str">
        <f>_xlfn.XLOOKUP(C70,'Part code'!A:A,'Part code'!D:D)</f>
        <v>Process B</v>
      </c>
      <c r="E70" s="23">
        <v>480</v>
      </c>
      <c r="F70">
        <f>SUMIFS('Eventos de perdida'!G:G,'Eventos de perdida'!D:D,A70,'Eventos de perdida'!E:E,B70,'Eventos de perdida'!F:F,C70)</f>
        <v>55</v>
      </c>
      <c r="G70">
        <f t="shared" si="1"/>
        <v>425</v>
      </c>
      <c r="H70" s="26">
        <f>ROUNDDOWN(E70/_xlfn.XLOOKUP(C70,'[1]Part code'!A:A,'[1]Part code'!C:C),0)</f>
        <v>505</v>
      </c>
      <c r="I70">
        <f>ROUNDDOWN(G70/_xlfn.XLOOKUP(C70,'[1]Part code'!A:A,'[1]Part code'!C:C),0)</f>
        <v>447</v>
      </c>
      <c r="J70">
        <v>4</v>
      </c>
      <c r="K70" s="29">
        <f>I70*_xlfn.XLOOKUP(C70,'Part code'!A:A,'Part code'!C:C)/G70</f>
        <v>0.99917647058823522</v>
      </c>
    </row>
    <row r="71" spans="1:11">
      <c r="A71" s="9">
        <v>45483</v>
      </c>
      <c r="B71" s="7" t="s">
        <v>46</v>
      </c>
      <c r="C71" s="7" t="s">
        <v>33</v>
      </c>
      <c r="D71" s="7" t="str">
        <f>_xlfn.XLOOKUP(C71,'Part code'!A:A,'Part code'!D:D)</f>
        <v>Process C</v>
      </c>
      <c r="E71">
        <v>280</v>
      </c>
      <c r="F71">
        <f>SUMIFS('Eventos de perdida'!G:G,'Eventos de perdida'!D:D,A71,'Eventos de perdida'!E:E,B71,'Eventos de perdida'!F:F,C71)</f>
        <v>19</v>
      </c>
      <c r="G71">
        <f t="shared" si="1"/>
        <v>261</v>
      </c>
      <c r="H71" s="26">
        <f>ROUNDDOWN(E71/_xlfn.XLOOKUP(C71,'[1]Part code'!A:A,'[1]Part code'!C:C),0)</f>
        <v>233</v>
      </c>
      <c r="I71">
        <f>ROUNDDOWN(G71/_xlfn.XLOOKUP(C71,'[1]Part code'!A:A,'[1]Part code'!C:C),0)</f>
        <v>217</v>
      </c>
      <c r="J71">
        <v>1</v>
      </c>
      <c r="K71" s="29">
        <f>I71*_xlfn.XLOOKUP(C71,'Part code'!A:A,'Part code'!C:C)/G71</f>
        <v>0.99770114942528731</v>
      </c>
    </row>
    <row r="72" spans="1:11">
      <c r="A72" s="9">
        <v>45483</v>
      </c>
      <c r="B72" s="7" t="s">
        <v>46</v>
      </c>
      <c r="C72" s="7" t="s">
        <v>31</v>
      </c>
      <c r="D72" s="7" t="str">
        <f>_xlfn.XLOOKUP(C72,'Part code'!A:A,'Part code'!D:D)</f>
        <v>Process C</v>
      </c>
      <c r="E72">
        <v>200</v>
      </c>
      <c r="F72">
        <f>SUMIFS('Eventos de perdida'!G:G,'Eventos de perdida'!D:D,A72,'Eventos de perdida'!E:E,B72,'Eventos de perdida'!F:F,C72)</f>
        <v>0</v>
      </c>
      <c r="G72">
        <f t="shared" si="1"/>
        <v>200</v>
      </c>
      <c r="H72" s="26">
        <f>ROUNDDOWN(E72/_xlfn.XLOOKUP(C72,'[1]Part code'!A:A,'[1]Part code'!C:C),0)</f>
        <v>181</v>
      </c>
      <c r="I72">
        <f>ROUNDDOWN(G72/_xlfn.XLOOKUP(C72,'[1]Part code'!A:A,'[1]Part code'!C:C),0)</f>
        <v>181</v>
      </c>
      <c r="J72">
        <v>1</v>
      </c>
      <c r="K72" s="29">
        <f>I72*_xlfn.XLOOKUP(C72,'Part code'!A:A,'Part code'!C:C)/G72</f>
        <v>0.99550000000000016</v>
      </c>
    </row>
    <row r="73" spans="1:11">
      <c r="A73" s="9">
        <v>45483</v>
      </c>
      <c r="B73" s="7" t="s">
        <v>47</v>
      </c>
      <c r="C73" s="7" t="s">
        <v>33</v>
      </c>
      <c r="D73" s="7" t="str">
        <f>_xlfn.XLOOKUP(C73,'Part code'!A:A,'Part code'!D:D)</f>
        <v>Process C</v>
      </c>
      <c r="E73" s="23">
        <v>480</v>
      </c>
      <c r="F73">
        <f>SUMIFS('Eventos de perdida'!G:G,'Eventos de perdida'!D:D,A73,'Eventos de perdida'!E:E,B73,'Eventos de perdida'!F:F,C73)</f>
        <v>0</v>
      </c>
      <c r="G73">
        <f t="shared" si="1"/>
        <v>480</v>
      </c>
      <c r="H73" s="26">
        <f>ROUNDDOWN(E73/_xlfn.XLOOKUP(C73,'[1]Part code'!A:A,'[1]Part code'!C:C),0)</f>
        <v>400</v>
      </c>
      <c r="I73">
        <f>ROUNDDOWN(G73/_xlfn.XLOOKUP(C73,'[1]Part code'!A:A,'[1]Part code'!C:C),0)</f>
        <v>400</v>
      </c>
      <c r="J73">
        <v>6</v>
      </c>
      <c r="K73" s="29">
        <f>I73*_xlfn.XLOOKUP(C73,'Part code'!A:A,'Part code'!C:C)/G73</f>
        <v>1</v>
      </c>
    </row>
    <row r="74" spans="1:11">
      <c r="A74" s="9">
        <v>45484</v>
      </c>
      <c r="B74" s="7" t="s">
        <v>46</v>
      </c>
      <c r="C74" s="7" t="s">
        <v>25</v>
      </c>
      <c r="D74" s="7" t="str">
        <f>_xlfn.XLOOKUP(C74,'Part code'!A:A,'Part code'!D:D)</f>
        <v>Process A</v>
      </c>
      <c r="E74" s="23">
        <v>480</v>
      </c>
      <c r="F74">
        <f>SUMIFS('Eventos de perdida'!G:G,'Eventos de perdida'!D:D,A74,'Eventos de perdida'!E:E,B74,'Eventos de perdida'!F:F,C74)</f>
        <v>22</v>
      </c>
      <c r="G74">
        <f t="shared" si="1"/>
        <v>458</v>
      </c>
      <c r="H74" s="26">
        <f>ROUNDDOWN(E74/_xlfn.XLOOKUP(C74,'[1]Part code'!A:A,'[1]Part code'!C:C),0)</f>
        <v>480</v>
      </c>
      <c r="I74">
        <f>ROUNDDOWN(G74/_xlfn.XLOOKUP(C74,'[1]Part code'!A:A,'[1]Part code'!C:C),0)</f>
        <v>458</v>
      </c>
      <c r="J74">
        <v>0</v>
      </c>
      <c r="K74" s="29">
        <f>I74*_xlfn.XLOOKUP(C74,'Part code'!A:A,'Part code'!C:C)/G74</f>
        <v>1</v>
      </c>
    </row>
    <row r="75" spans="1:11">
      <c r="A75" s="9">
        <v>45484</v>
      </c>
      <c r="B75" s="7" t="s">
        <v>47</v>
      </c>
      <c r="C75" s="7" t="s">
        <v>23</v>
      </c>
      <c r="D75" s="7" t="str">
        <f>_xlfn.XLOOKUP(C75,'Part code'!A:A,'Part code'!D:D)</f>
        <v>Process A</v>
      </c>
      <c r="E75" s="23">
        <v>240</v>
      </c>
      <c r="F75">
        <f>SUMIFS('Eventos de perdida'!G:G,'Eventos de perdida'!D:D,A75,'Eventos de perdida'!E:E,B75,'Eventos de perdida'!F:F,C75)</f>
        <v>23</v>
      </c>
      <c r="G75">
        <f t="shared" si="1"/>
        <v>217</v>
      </c>
      <c r="H75" s="26">
        <f>ROUNDDOWN(E75/_xlfn.XLOOKUP(C75,'[1]Part code'!A:A,'[1]Part code'!C:C),0)</f>
        <v>240</v>
      </c>
      <c r="I75">
        <f>ROUNDDOWN(G75/_xlfn.XLOOKUP(C75,'[1]Part code'!A:A,'[1]Part code'!C:C),0)</f>
        <v>217</v>
      </c>
      <c r="J75">
        <v>5</v>
      </c>
      <c r="K75" s="29">
        <f>I75*_xlfn.XLOOKUP(C75,'Part code'!A:A,'Part code'!C:C)/G75</f>
        <v>1</v>
      </c>
    </row>
    <row r="76" spans="1:11">
      <c r="A76" s="9">
        <v>45484</v>
      </c>
      <c r="B76" s="7" t="s">
        <v>47</v>
      </c>
      <c r="C76" s="7" t="s">
        <v>25</v>
      </c>
      <c r="D76" s="7" t="str">
        <f>_xlfn.XLOOKUP(C76,'Part code'!A:A,'Part code'!D:D)</f>
        <v>Process A</v>
      </c>
      <c r="E76" s="23">
        <v>240</v>
      </c>
      <c r="F76">
        <f>SUMIFS('Eventos de perdida'!G:G,'Eventos de perdida'!D:D,A76,'Eventos de perdida'!E:E,B76,'Eventos de perdida'!F:F,C76)</f>
        <v>0</v>
      </c>
      <c r="G76">
        <f t="shared" si="1"/>
        <v>240</v>
      </c>
      <c r="H76" s="26">
        <f>ROUNDDOWN(E76/_xlfn.XLOOKUP(C76,'[1]Part code'!A:A,'[1]Part code'!C:C),0)</f>
        <v>240</v>
      </c>
      <c r="I76">
        <f>ROUNDDOWN(G76/_xlfn.XLOOKUP(C76,'[1]Part code'!A:A,'[1]Part code'!C:C),0)</f>
        <v>240</v>
      </c>
      <c r="J76">
        <v>6</v>
      </c>
      <c r="K76" s="29">
        <f>I76*_xlfn.XLOOKUP(C76,'Part code'!A:A,'Part code'!C:C)/G76</f>
        <v>1</v>
      </c>
    </row>
    <row r="77" spans="1:11">
      <c r="A77" s="9">
        <v>45484</v>
      </c>
      <c r="B77" s="7" t="s">
        <v>46</v>
      </c>
      <c r="C77" s="7" t="s">
        <v>27</v>
      </c>
      <c r="D77" s="7" t="str">
        <f>_xlfn.XLOOKUP(C77,'Part code'!A:A,'Part code'!D:D)</f>
        <v>Process B</v>
      </c>
      <c r="E77" s="23">
        <v>480</v>
      </c>
      <c r="F77">
        <f>SUMIFS('Eventos de perdida'!G:G,'Eventos de perdida'!D:D,A77,'Eventos de perdida'!E:E,B77,'Eventos de perdida'!F:F,C77)</f>
        <v>14</v>
      </c>
      <c r="G77">
        <f t="shared" si="1"/>
        <v>466</v>
      </c>
      <c r="H77" s="26">
        <f>ROUNDDOWN(E77/_xlfn.XLOOKUP(C77,'[1]Part code'!A:A,'[1]Part code'!C:C),0)</f>
        <v>533</v>
      </c>
      <c r="I77">
        <f>ROUNDDOWN(G77/_xlfn.XLOOKUP(C77,'[1]Part code'!A:A,'[1]Part code'!C:C),0)</f>
        <v>517</v>
      </c>
      <c r="J77">
        <v>0</v>
      </c>
      <c r="K77" s="29">
        <f>I77*_xlfn.XLOOKUP(C77,'Part code'!A:A,'Part code'!C:C)/G77</f>
        <v>0.99849785407725322</v>
      </c>
    </row>
    <row r="78" spans="1:11">
      <c r="A78" s="9">
        <v>45484</v>
      </c>
      <c r="B78" s="7" t="s">
        <v>47</v>
      </c>
      <c r="C78" s="7" t="s">
        <v>29</v>
      </c>
      <c r="D78" s="7" t="str">
        <f>_xlfn.XLOOKUP(C78,'Part code'!A:A,'Part code'!D:D)</f>
        <v>Process B</v>
      </c>
      <c r="E78" s="23">
        <v>240</v>
      </c>
      <c r="F78">
        <f>SUMIFS('Eventos de perdida'!G:G,'Eventos de perdida'!D:D,A78,'Eventos de perdida'!E:E,B78,'Eventos de perdida'!F:F,C78)</f>
        <v>3</v>
      </c>
      <c r="G78">
        <f t="shared" si="1"/>
        <v>237</v>
      </c>
      <c r="H78" s="26">
        <f>ROUNDDOWN(E78/_xlfn.XLOOKUP(C78,'[1]Part code'!A:A,'[1]Part code'!C:C),0)</f>
        <v>252</v>
      </c>
      <c r="I78">
        <f>ROUNDDOWN(G78/_xlfn.XLOOKUP(C78,'[1]Part code'!A:A,'[1]Part code'!C:C),0)</f>
        <v>249</v>
      </c>
      <c r="J78">
        <v>7</v>
      </c>
      <c r="K78" s="29">
        <f>I78*_xlfn.XLOOKUP(C78,'Part code'!A:A,'Part code'!C:C)/G78</f>
        <v>0.99810126582278469</v>
      </c>
    </row>
    <row r="79" spans="1:11">
      <c r="A79" s="9">
        <v>45484</v>
      </c>
      <c r="B79" s="7" t="s">
        <v>47</v>
      </c>
      <c r="C79" s="7" t="s">
        <v>27</v>
      </c>
      <c r="D79" s="7" t="str">
        <f>_xlfn.XLOOKUP(C79,'Part code'!A:A,'Part code'!D:D)</f>
        <v>Process B</v>
      </c>
      <c r="E79" s="23">
        <v>240</v>
      </c>
      <c r="F79">
        <f>SUMIFS('Eventos de perdida'!G:G,'Eventos de perdida'!D:D,A79,'Eventos de perdida'!E:E,B79,'Eventos de perdida'!F:F,C79)</f>
        <v>0</v>
      </c>
      <c r="G79">
        <f t="shared" si="1"/>
        <v>240</v>
      </c>
      <c r="H79" s="26">
        <f>ROUNDDOWN(E79/_xlfn.XLOOKUP(C79,'[1]Part code'!A:A,'[1]Part code'!C:C),0)</f>
        <v>266</v>
      </c>
      <c r="I79">
        <f>ROUNDDOWN(G79/_xlfn.XLOOKUP(C79,'[1]Part code'!A:A,'[1]Part code'!C:C),0)</f>
        <v>266</v>
      </c>
      <c r="J79">
        <v>5</v>
      </c>
      <c r="K79" s="29">
        <f>I79*_xlfn.XLOOKUP(C79,'Part code'!A:A,'Part code'!C:C)/G79</f>
        <v>0.99750000000000005</v>
      </c>
    </row>
    <row r="80" spans="1:11">
      <c r="A80" s="9">
        <v>45484</v>
      </c>
      <c r="B80" s="7" t="s">
        <v>47</v>
      </c>
      <c r="C80" s="7" t="s">
        <v>31</v>
      </c>
      <c r="D80" s="7" t="str">
        <f>_xlfn.XLOOKUP(C80,'Part code'!A:A,'Part code'!D:D)</f>
        <v>Process C</v>
      </c>
      <c r="E80" s="23">
        <v>480</v>
      </c>
      <c r="F80">
        <f>SUMIFS('Eventos de perdida'!G:G,'Eventos de perdida'!D:D,A80,'Eventos de perdida'!E:E,B80,'Eventos de perdida'!F:F,C80)</f>
        <v>10</v>
      </c>
      <c r="G80">
        <f t="shared" si="1"/>
        <v>470</v>
      </c>
      <c r="H80" s="26">
        <f>ROUNDDOWN(E80/_xlfn.XLOOKUP(C80,'[1]Part code'!A:A,'[1]Part code'!C:C),0)</f>
        <v>436</v>
      </c>
      <c r="I80">
        <f>ROUNDDOWN(G80/_xlfn.XLOOKUP(C80,'[1]Part code'!A:A,'[1]Part code'!C:C),0)</f>
        <v>427</v>
      </c>
      <c r="J80">
        <v>7</v>
      </c>
      <c r="K80" s="29">
        <f>I80*_xlfn.XLOOKUP(C80,'Part code'!A:A,'Part code'!C:C)/G80</f>
        <v>0.99936170212765962</v>
      </c>
    </row>
    <row r="81" spans="1:11">
      <c r="A81" s="9">
        <v>45484</v>
      </c>
      <c r="B81" s="7" t="s">
        <v>46</v>
      </c>
      <c r="C81" s="7" t="s">
        <v>33</v>
      </c>
      <c r="D81" s="7" t="str">
        <f>_xlfn.XLOOKUP(C81,'Part code'!A:A,'Part code'!D:D)</f>
        <v>Process C</v>
      </c>
      <c r="E81" s="23">
        <v>240</v>
      </c>
      <c r="F81">
        <f>SUMIFS('Eventos de perdida'!G:G,'Eventos de perdida'!D:D,A81,'Eventos de perdida'!E:E,B81,'Eventos de perdida'!F:F,C81)</f>
        <v>16</v>
      </c>
      <c r="G81">
        <f t="shared" si="1"/>
        <v>224</v>
      </c>
      <c r="H81" s="26">
        <f>ROUNDDOWN(E81/_xlfn.XLOOKUP(C81,'[1]Part code'!A:A,'[1]Part code'!C:C),0)</f>
        <v>200</v>
      </c>
      <c r="I81">
        <f>ROUNDDOWN(G81/_xlfn.XLOOKUP(C81,'[1]Part code'!A:A,'[1]Part code'!C:C),0)</f>
        <v>186</v>
      </c>
      <c r="J81">
        <v>7</v>
      </c>
      <c r="K81" s="29">
        <f>I81*_xlfn.XLOOKUP(C81,'Part code'!A:A,'Part code'!C:C)/G81</f>
        <v>0.99642857142857133</v>
      </c>
    </row>
    <row r="82" spans="1:11">
      <c r="A82" s="9">
        <v>45484</v>
      </c>
      <c r="B82" s="7" t="s">
        <v>46</v>
      </c>
      <c r="C82" s="7" t="s">
        <v>31</v>
      </c>
      <c r="D82" s="7" t="str">
        <f>_xlfn.XLOOKUP(C82,'Part code'!A:A,'Part code'!D:D)</f>
        <v>Process C</v>
      </c>
      <c r="E82" s="23">
        <v>240</v>
      </c>
      <c r="F82">
        <f>SUMIFS('Eventos de perdida'!G:G,'Eventos de perdida'!D:D,A82,'Eventos de perdida'!E:E,B82,'Eventos de perdida'!F:F,C82)</f>
        <v>0</v>
      </c>
      <c r="G82">
        <f t="shared" si="1"/>
        <v>240</v>
      </c>
      <c r="H82" s="26">
        <f>ROUNDDOWN(E82/_xlfn.XLOOKUP(C82,'[1]Part code'!A:A,'[1]Part code'!C:C),0)</f>
        <v>218</v>
      </c>
      <c r="I82">
        <f>ROUNDDOWN(G82/_xlfn.XLOOKUP(C82,'[1]Part code'!A:A,'[1]Part code'!C:C),0)</f>
        <v>218</v>
      </c>
      <c r="J82">
        <v>5</v>
      </c>
      <c r="K82" s="29">
        <f>I82*_xlfn.XLOOKUP(C82,'Part code'!A:A,'Part code'!C:C)/G82</f>
        <v>0.99916666666666676</v>
      </c>
    </row>
    <row r="83" spans="1:11">
      <c r="A83" s="9">
        <v>45485</v>
      </c>
      <c r="B83" s="7" t="s">
        <v>46</v>
      </c>
      <c r="C83" s="7" t="s">
        <v>23</v>
      </c>
      <c r="D83" s="7" t="str">
        <f>_xlfn.XLOOKUP(C83,'Part code'!A:A,'Part code'!D:D)</f>
        <v>Process A</v>
      </c>
      <c r="E83" s="23">
        <v>180</v>
      </c>
      <c r="F83">
        <f>SUMIFS('Eventos de perdida'!G:G,'Eventos de perdida'!D:D,A83,'Eventos de perdida'!E:E,B83,'Eventos de perdida'!F:F,C83)</f>
        <v>0</v>
      </c>
      <c r="G83">
        <f t="shared" si="1"/>
        <v>180</v>
      </c>
      <c r="H83" s="26">
        <f>ROUNDDOWN(E83/_xlfn.XLOOKUP(C83,'[1]Part code'!A:A,'[1]Part code'!C:C),0)</f>
        <v>180</v>
      </c>
      <c r="I83">
        <f>ROUNDDOWN(G83/_xlfn.XLOOKUP(C83,'[1]Part code'!A:A,'[1]Part code'!C:C),0)</f>
        <v>180</v>
      </c>
      <c r="J83">
        <v>0</v>
      </c>
      <c r="K83" s="29">
        <f>I83*_xlfn.XLOOKUP(C83,'Part code'!A:A,'Part code'!C:C)/G83</f>
        <v>1</v>
      </c>
    </row>
    <row r="84" spans="1:11">
      <c r="A84" s="9">
        <v>45485</v>
      </c>
      <c r="B84" s="7" t="s">
        <v>46</v>
      </c>
      <c r="C84" s="7" t="s">
        <v>25</v>
      </c>
      <c r="D84" s="7" t="str">
        <f>_xlfn.XLOOKUP(C84,'Part code'!A:A,'Part code'!D:D)</f>
        <v>Process A</v>
      </c>
      <c r="E84" s="23">
        <v>300</v>
      </c>
      <c r="F84">
        <f>SUMIFS('Eventos de perdida'!G:G,'Eventos de perdida'!D:D,A84,'Eventos de perdida'!E:E,B84,'Eventos de perdida'!F:F,C84)</f>
        <v>35</v>
      </c>
      <c r="G84">
        <f t="shared" si="1"/>
        <v>265</v>
      </c>
      <c r="H84" s="26">
        <f>ROUNDDOWN(E84/_xlfn.XLOOKUP(C84,'[1]Part code'!A:A,'[1]Part code'!C:C),0)</f>
        <v>300</v>
      </c>
      <c r="I84">
        <f>ROUNDDOWN(G84/_xlfn.XLOOKUP(C84,'[1]Part code'!A:A,'[1]Part code'!C:C),0)</f>
        <v>265</v>
      </c>
      <c r="J84">
        <v>4</v>
      </c>
      <c r="K84" s="29">
        <f>I84*_xlfn.XLOOKUP(C84,'Part code'!A:A,'Part code'!C:C)/G84</f>
        <v>1</v>
      </c>
    </row>
    <row r="85" spans="1:11">
      <c r="A85" s="9">
        <v>45485</v>
      </c>
      <c r="B85" s="7" t="s">
        <v>47</v>
      </c>
      <c r="C85" s="7" t="s">
        <v>23</v>
      </c>
      <c r="D85" s="7" t="str">
        <f>_xlfn.XLOOKUP(C85,'Part code'!A:A,'Part code'!D:D)</f>
        <v>Process A</v>
      </c>
      <c r="E85" s="23">
        <v>480</v>
      </c>
      <c r="F85">
        <f>SUMIFS('Eventos de perdida'!G:G,'Eventos de perdida'!D:D,A85,'Eventos de perdida'!E:E,B85,'Eventos de perdida'!F:F,C85)</f>
        <v>0</v>
      </c>
      <c r="G85">
        <f t="shared" si="1"/>
        <v>480</v>
      </c>
      <c r="H85" s="26">
        <f>ROUNDDOWN(E85/_xlfn.XLOOKUP(C85,'[1]Part code'!A:A,'[1]Part code'!C:C),0)</f>
        <v>480</v>
      </c>
      <c r="I85">
        <f>ROUNDDOWN(G85/_xlfn.XLOOKUP(C85,'[1]Part code'!A:A,'[1]Part code'!C:C),0)</f>
        <v>480</v>
      </c>
      <c r="J85">
        <v>5</v>
      </c>
      <c r="K85" s="29">
        <f>I85*_xlfn.XLOOKUP(C85,'Part code'!A:A,'Part code'!C:C)/G85</f>
        <v>1</v>
      </c>
    </row>
    <row r="86" spans="1:11">
      <c r="A86" s="9">
        <v>45485</v>
      </c>
      <c r="B86" s="7" t="s">
        <v>46</v>
      </c>
      <c r="C86" s="7" t="s">
        <v>29</v>
      </c>
      <c r="D86" s="7" t="str">
        <f>_xlfn.XLOOKUP(C86,'Part code'!A:A,'Part code'!D:D)</f>
        <v>Process B</v>
      </c>
      <c r="E86" s="23">
        <v>180</v>
      </c>
      <c r="F86">
        <f>SUMIFS('Eventos de perdida'!G:G,'Eventos de perdida'!D:D,A86,'Eventos de perdida'!E:E,B86,'Eventos de perdida'!F:F,C86)</f>
        <v>10</v>
      </c>
      <c r="G86">
        <f t="shared" si="1"/>
        <v>170</v>
      </c>
      <c r="H86" s="26">
        <f>ROUNDDOWN(E86/_xlfn.XLOOKUP(C86,'[1]Part code'!A:A,'[1]Part code'!C:C),0)</f>
        <v>189</v>
      </c>
      <c r="I86">
        <f>ROUNDDOWN(G86/_xlfn.XLOOKUP(C86,'[1]Part code'!A:A,'[1]Part code'!C:C),0)</f>
        <v>178</v>
      </c>
      <c r="J86">
        <v>0</v>
      </c>
      <c r="K86" s="29">
        <f>I86*_xlfn.XLOOKUP(C86,'Part code'!A:A,'Part code'!C:C)/G86</f>
        <v>0.99470588235294111</v>
      </c>
    </row>
    <row r="87" spans="1:11">
      <c r="A87" s="9">
        <v>45485</v>
      </c>
      <c r="B87" s="7" t="s">
        <v>46</v>
      </c>
      <c r="C87" s="7" t="s">
        <v>27</v>
      </c>
      <c r="D87" s="7" t="str">
        <f>_xlfn.XLOOKUP(C87,'Part code'!A:A,'Part code'!D:D)</f>
        <v>Process B</v>
      </c>
      <c r="E87" s="23">
        <v>300</v>
      </c>
      <c r="F87">
        <f>SUMIFS('Eventos de perdida'!G:G,'Eventos de perdida'!D:D,A87,'Eventos de perdida'!E:E,B87,'Eventos de perdida'!F:F,C87)</f>
        <v>0</v>
      </c>
      <c r="G87">
        <f t="shared" si="1"/>
        <v>300</v>
      </c>
      <c r="H87" s="26">
        <f>ROUNDDOWN(E87/_xlfn.XLOOKUP(C87,'[1]Part code'!A:A,'[1]Part code'!C:C),0)</f>
        <v>333</v>
      </c>
      <c r="I87">
        <f>ROUNDDOWN(G87/_xlfn.XLOOKUP(C87,'[1]Part code'!A:A,'[1]Part code'!C:C),0)</f>
        <v>333</v>
      </c>
      <c r="J87">
        <v>6</v>
      </c>
      <c r="K87" s="29">
        <f>I87*_xlfn.XLOOKUP(C87,'Part code'!A:A,'Part code'!C:C)/G87</f>
        <v>0.999</v>
      </c>
    </row>
    <row r="88" spans="1:11">
      <c r="A88" s="9">
        <v>45485</v>
      </c>
      <c r="B88" s="7" t="s">
        <v>47</v>
      </c>
      <c r="C88" s="7" t="s">
        <v>29</v>
      </c>
      <c r="D88" s="7" t="str">
        <f>_xlfn.XLOOKUP(C88,'Part code'!A:A,'Part code'!D:D)</f>
        <v>Process B</v>
      </c>
      <c r="E88" s="23">
        <v>480</v>
      </c>
      <c r="F88">
        <f>SUMIFS('Eventos de perdida'!G:G,'Eventos de perdida'!D:D,A88,'Eventos de perdida'!E:E,B88,'Eventos de perdida'!F:F,C88)</f>
        <v>48</v>
      </c>
      <c r="G88">
        <f t="shared" si="1"/>
        <v>432</v>
      </c>
      <c r="H88" s="26">
        <f>ROUNDDOWN(E88/_xlfn.XLOOKUP(C88,'[1]Part code'!A:A,'[1]Part code'!C:C),0)</f>
        <v>505</v>
      </c>
      <c r="I88">
        <f>ROUNDDOWN(G88/_xlfn.XLOOKUP(C88,'[1]Part code'!A:A,'[1]Part code'!C:C),0)</f>
        <v>454</v>
      </c>
      <c r="J88">
        <v>7</v>
      </c>
      <c r="K88" s="29">
        <f>I88*_xlfn.XLOOKUP(C88,'Part code'!A:A,'Part code'!C:C)/G88</f>
        <v>0.99837962962962956</v>
      </c>
    </row>
    <row r="89" spans="1:11">
      <c r="A89" s="9">
        <v>45485</v>
      </c>
      <c r="B89" s="7" t="s">
        <v>46</v>
      </c>
      <c r="C89" s="7" t="s">
        <v>33</v>
      </c>
      <c r="D89" s="7" t="str">
        <f>_xlfn.XLOOKUP(C89,'Part code'!A:A,'Part code'!D:D)</f>
        <v>Process C</v>
      </c>
      <c r="E89" s="23">
        <v>180</v>
      </c>
      <c r="F89">
        <f>SUMIFS('Eventos de perdida'!G:G,'Eventos de perdida'!D:D,A89,'Eventos de perdida'!E:E,B89,'Eventos de perdida'!F:F,C89)</f>
        <v>0</v>
      </c>
      <c r="G89">
        <f t="shared" si="1"/>
        <v>180</v>
      </c>
      <c r="H89" s="26">
        <f>ROUNDDOWN(E89/_xlfn.XLOOKUP(C89,'[1]Part code'!A:A,'[1]Part code'!C:C),0)</f>
        <v>150</v>
      </c>
      <c r="I89">
        <f>ROUNDDOWN(G89/_xlfn.XLOOKUP(C89,'[1]Part code'!A:A,'[1]Part code'!C:C),0)</f>
        <v>150</v>
      </c>
      <c r="J89">
        <v>5</v>
      </c>
      <c r="K89" s="29">
        <f>I89*_xlfn.XLOOKUP(C89,'Part code'!A:A,'Part code'!C:C)/G89</f>
        <v>1</v>
      </c>
    </row>
    <row r="90" spans="1:11">
      <c r="A90" s="9">
        <v>45485</v>
      </c>
      <c r="B90" s="7" t="s">
        <v>46</v>
      </c>
      <c r="C90" s="7" t="s">
        <v>31</v>
      </c>
      <c r="D90" s="7" t="str">
        <f>_xlfn.XLOOKUP(C90,'Part code'!A:A,'Part code'!D:D)</f>
        <v>Process C</v>
      </c>
      <c r="E90" s="23">
        <v>300</v>
      </c>
      <c r="F90">
        <f>SUMIFS('Eventos de perdida'!G:G,'Eventos de perdida'!D:D,A90,'Eventos de perdida'!E:E,B90,'Eventos de perdida'!F:F,C90)</f>
        <v>0</v>
      </c>
      <c r="G90">
        <f t="shared" si="1"/>
        <v>300</v>
      </c>
      <c r="H90" s="26">
        <f>ROUNDDOWN(E90/_xlfn.XLOOKUP(C90,'[1]Part code'!A:A,'[1]Part code'!C:C),0)</f>
        <v>272</v>
      </c>
      <c r="I90">
        <f>ROUNDDOWN(G90/_xlfn.XLOOKUP(C90,'[1]Part code'!A:A,'[1]Part code'!C:C),0)</f>
        <v>272</v>
      </c>
      <c r="J90">
        <v>7</v>
      </c>
      <c r="K90" s="29">
        <f>I90*_xlfn.XLOOKUP(C90,'Part code'!A:A,'Part code'!C:C)/G90</f>
        <v>0.99733333333333352</v>
      </c>
    </row>
    <row r="91" spans="1:11">
      <c r="A91" s="9">
        <v>45485</v>
      </c>
      <c r="B91" s="7" t="s">
        <v>47</v>
      </c>
      <c r="C91" s="7" t="s">
        <v>33</v>
      </c>
      <c r="D91" s="7" t="str">
        <f>_xlfn.XLOOKUP(C91,'Part code'!A:A,'Part code'!D:D)</f>
        <v>Process C</v>
      </c>
      <c r="E91" s="23">
        <v>480</v>
      </c>
      <c r="F91">
        <f>SUMIFS('Eventos de perdida'!G:G,'Eventos de perdida'!D:D,A91,'Eventos de perdida'!E:E,B91,'Eventos de perdida'!F:F,C91)</f>
        <v>0</v>
      </c>
      <c r="G91">
        <f t="shared" si="1"/>
        <v>480</v>
      </c>
      <c r="H91" s="26">
        <f>ROUNDDOWN(E91/_xlfn.XLOOKUP(C91,'[1]Part code'!A:A,'[1]Part code'!C:C),0)</f>
        <v>400</v>
      </c>
      <c r="I91">
        <f>ROUNDDOWN(G91/_xlfn.XLOOKUP(C91,'[1]Part code'!A:A,'[1]Part code'!C:C),0)</f>
        <v>400</v>
      </c>
      <c r="J91">
        <v>4</v>
      </c>
      <c r="K91" s="29">
        <f>I91*_xlfn.XLOOKUP(C91,'Part code'!A:A,'Part code'!C:C)/G91</f>
        <v>1</v>
      </c>
    </row>
    <row r="92" spans="1:11">
      <c r="A92" s="9">
        <v>45488</v>
      </c>
      <c r="B92" s="7" t="s">
        <v>47</v>
      </c>
      <c r="C92" s="7" t="s">
        <v>25</v>
      </c>
      <c r="D92" s="7" t="str">
        <f>_xlfn.XLOOKUP(C92,'Part code'!A:A,'Part code'!D:D)</f>
        <v>Process A</v>
      </c>
      <c r="E92" s="23">
        <v>240</v>
      </c>
      <c r="F92">
        <f>SUMIFS('Eventos de perdida'!G:G,'Eventos de perdida'!D:D,A92,'Eventos de perdida'!E:E,B92,'Eventos de perdida'!F:F,C92)</f>
        <v>11</v>
      </c>
      <c r="G92">
        <f t="shared" si="1"/>
        <v>229</v>
      </c>
      <c r="H92" s="26">
        <f>ROUNDDOWN(E92/_xlfn.XLOOKUP(C92,'[1]Part code'!A:A,'[1]Part code'!C:C),0)</f>
        <v>240</v>
      </c>
      <c r="I92">
        <f>ROUNDDOWN(G92/_xlfn.XLOOKUP(C92,'[1]Part code'!A:A,'[1]Part code'!C:C),0)</f>
        <v>229</v>
      </c>
      <c r="J92">
        <v>5</v>
      </c>
      <c r="K92" s="29">
        <f>I92*_xlfn.XLOOKUP(C92,'Part code'!A:A,'Part code'!C:C)/G92</f>
        <v>1</v>
      </c>
    </row>
    <row r="93" spans="1:11">
      <c r="A93" s="9">
        <v>45488</v>
      </c>
      <c r="B93" s="7" t="s">
        <v>47</v>
      </c>
      <c r="C93" s="7" t="s">
        <v>23</v>
      </c>
      <c r="D93" s="7" t="str">
        <f>_xlfn.XLOOKUP(C93,'Part code'!A:A,'Part code'!D:D)</f>
        <v>Process A</v>
      </c>
      <c r="E93" s="23">
        <v>240</v>
      </c>
      <c r="F93">
        <f>SUMIFS('Eventos de perdida'!G:G,'Eventos de perdida'!D:D,A93,'Eventos de perdida'!E:E,B93,'Eventos de perdida'!F:F,C93)</f>
        <v>0</v>
      </c>
      <c r="G93">
        <f t="shared" si="1"/>
        <v>240</v>
      </c>
      <c r="H93" s="26">
        <f>ROUNDDOWN(E93/_xlfn.XLOOKUP(C93,'[1]Part code'!A:A,'[1]Part code'!C:C),0)</f>
        <v>240</v>
      </c>
      <c r="I93">
        <f>ROUNDDOWN(G93/_xlfn.XLOOKUP(C93,'[1]Part code'!A:A,'[1]Part code'!C:C),0)</f>
        <v>240</v>
      </c>
      <c r="J93">
        <v>1</v>
      </c>
      <c r="K93" s="29">
        <f>I93*_xlfn.XLOOKUP(C93,'Part code'!A:A,'Part code'!C:C)/G93</f>
        <v>1</v>
      </c>
    </row>
    <row r="94" spans="1:11">
      <c r="A94" s="9">
        <v>45488</v>
      </c>
      <c r="B94" s="7" t="s">
        <v>46</v>
      </c>
      <c r="C94" s="7" t="s">
        <v>23</v>
      </c>
      <c r="D94" s="7" t="str">
        <f>_xlfn.XLOOKUP(C94,'Part code'!A:A,'Part code'!D:D)</f>
        <v>Process A</v>
      </c>
      <c r="E94" s="23">
        <v>480</v>
      </c>
      <c r="F94">
        <f>SUMIFS('Eventos de perdida'!G:G,'Eventos de perdida'!D:D,A94,'Eventos de perdida'!E:E,B94,'Eventos de perdida'!F:F,C94)</f>
        <v>5</v>
      </c>
      <c r="G94">
        <f t="shared" si="1"/>
        <v>475</v>
      </c>
      <c r="H94" s="26">
        <f>ROUNDDOWN(E94/_xlfn.XLOOKUP(C94,'[1]Part code'!A:A,'[1]Part code'!C:C),0)</f>
        <v>480</v>
      </c>
      <c r="I94">
        <f>ROUNDDOWN(G94/_xlfn.XLOOKUP(C94,'[1]Part code'!A:A,'[1]Part code'!C:C),0)</f>
        <v>475</v>
      </c>
      <c r="J94">
        <v>4</v>
      </c>
      <c r="K94" s="29">
        <f>I94*_xlfn.XLOOKUP(C94,'Part code'!A:A,'Part code'!C:C)/G94</f>
        <v>1</v>
      </c>
    </row>
    <row r="95" spans="1:11">
      <c r="A95" s="9">
        <v>45488</v>
      </c>
      <c r="B95" s="7" t="s">
        <v>46</v>
      </c>
      <c r="C95" s="7" t="s">
        <v>27</v>
      </c>
      <c r="D95" s="7" t="str">
        <f>_xlfn.XLOOKUP(C95,'Part code'!A:A,'Part code'!D:D)</f>
        <v>Process B</v>
      </c>
      <c r="E95" s="23">
        <v>240</v>
      </c>
      <c r="F95">
        <f>SUMIFS('Eventos de perdida'!G:G,'Eventos de perdida'!D:D,A95,'Eventos de perdida'!E:E,B95,'Eventos de perdida'!F:F,C95)</f>
        <v>10</v>
      </c>
      <c r="G95">
        <f t="shared" si="1"/>
        <v>230</v>
      </c>
      <c r="H95" s="26">
        <f>ROUNDDOWN(E95/_xlfn.XLOOKUP(C95,'[1]Part code'!A:A,'[1]Part code'!C:C),0)</f>
        <v>266</v>
      </c>
      <c r="I95">
        <f>ROUNDDOWN(G95/_xlfn.XLOOKUP(C95,'[1]Part code'!A:A,'[1]Part code'!C:C),0)</f>
        <v>255</v>
      </c>
      <c r="J95">
        <v>0</v>
      </c>
      <c r="K95" s="29">
        <f>I95*_xlfn.XLOOKUP(C95,'Part code'!A:A,'Part code'!C:C)/G95</f>
        <v>0.99782608695652175</v>
      </c>
    </row>
    <row r="96" spans="1:11">
      <c r="A96" s="9">
        <v>45488</v>
      </c>
      <c r="B96" s="7" t="s">
        <v>46</v>
      </c>
      <c r="C96" s="7" t="s">
        <v>29</v>
      </c>
      <c r="D96" s="7" t="str">
        <f>_xlfn.XLOOKUP(C96,'Part code'!A:A,'Part code'!D:D)</f>
        <v>Process B</v>
      </c>
      <c r="E96" s="23">
        <v>240</v>
      </c>
      <c r="F96">
        <f>SUMIFS('Eventos de perdida'!G:G,'Eventos de perdida'!D:D,A96,'Eventos de perdida'!E:E,B96,'Eventos de perdida'!F:F,C96)</f>
        <v>0</v>
      </c>
      <c r="G96">
        <f t="shared" si="1"/>
        <v>240</v>
      </c>
      <c r="H96" s="26">
        <f>ROUNDDOWN(E96/_xlfn.XLOOKUP(C96,'[1]Part code'!A:A,'[1]Part code'!C:C),0)</f>
        <v>252</v>
      </c>
      <c r="I96">
        <f>ROUNDDOWN(G96/_xlfn.XLOOKUP(C96,'[1]Part code'!A:A,'[1]Part code'!C:C),0)</f>
        <v>252</v>
      </c>
      <c r="J96">
        <v>1</v>
      </c>
      <c r="K96" s="29">
        <f>I96*_xlfn.XLOOKUP(C96,'Part code'!A:A,'Part code'!C:C)/G96</f>
        <v>0.99749999999999994</v>
      </c>
    </row>
    <row r="97" spans="1:11">
      <c r="A97" s="9">
        <v>45488</v>
      </c>
      <c r="B97" s="7" t="s">
        <v>47</v>
      </c>
      <c r="C97" s="7" t="s">
        <v>27</v>
      </c>
      <c r="D97" s="7" t="str">
        <f>_xlfn.XLOOKUP(C97,'Part code'!A:A,'Part code'!D:D)</f>
        <v>Process B</v>
      </c>
      <c r="E97" s="23">
        <v>480</v>
      </c>
      <c r="F97">
        <f>SUMIFS('Eventos de perdida'!G:G,'Eventos de perdida'!D:D,A97,'Eventos de perdida'!E:E,B97,'Eventos de perdida'!F:F,C97)</f>
        <v>13</v>
      </c>
      <c r="G97">
        <f t="shared" si="1"/>
        <v>467</v>
      </c>
      <c r="H97" s="26">
        <f>ROUNDDOWN(E97/_xlfn.XLOOKUP(C97,'[1]Part code'!A:A,'[1]Part code'!C:C),0)</f>
        <v>533</v>
      </c>
      <c r="I97">
        <f>ROUNDDOWN(G97/_xlfn.XLOOKUP(C97,'[1]Part code'!A:A,'[1]Part code'!C:C),0)</f>
        <v>518</v>
      </c>
      <c r="J97">
        <v>7</v>
      </c>
      <c r="K97" s="29">
        <f>I97*_xlfn.XLOOKUP(C97,'Part code'!A:A,'Part code'!C:C)/G97</f>
        <v>0.99828693790149892</v>
      </c>
    </row>
    <row r="98" spans="1:11">
      <c r="A98" s="9">
        <v>45488</v>
      </c>
      <c r="B98" s="7" t="s">
        <v>47</v>
      </c>
      <c r="C98" s="7" t="s">
        <v>31</v>
      </c>
      <c r="D98" s="7" t="str">
        <f>_xlfn.XLOOKUP(C98,'Part code'!A:A,'Part code'!D:D)</f>
        <v>Process C</v>
      </c>
      <c r="E98" s="23">
        <v>240</v>
      </c>
      <c r="F98">
        <f>SUMIFS('Eventos de perdida'!G:G,'Eventos de perdida'!D:D,A98,'Eventos de perdida'!E:E,B98,'Eventos de perdida'!F:F,C98)</f>
        <v>0</v>
      </c>
      <c r="G98">
        <f t="shared" si="1"/>
        <v>240</v>
      </c>
      <c r="H98" s="26">
        <f>ROUNDDOWN(E98/_xlfn.XLOOKUP(C98,'[1]Part code'!A:A,'[1]Part code'!C:C),0)</f>
        <v>218</v>
      </c>
      <c r="I98">
        <f>ROUNDDOWN(G98/_xlfn.XLOOKUP(C98,'[1]Part code'!A:A,'[1]Part code'!C:C),0)</f>
        <v>218</v>
      </c>
      <c r="J98">
        <v>2</v>
      </c>
      <c r="K98" s="29">
        <f>I98*_xlfn.XLOOKUP(C98,'Part code'!A:A,'Part code'!C:C)/G98</f>
        <v>0.99916666666666676</v>
      </c>
    </row>
    <row r="99" spans="1:11">
      <c r="A99" s="9">
        <v>45488</v>
      </c>
      <c r="B99" s="7" t="s">
        <v>47</v>
      </c>
      <c r="C99" s="7" t="s">
        <v>33</v>
      </c>
      <c r="D99" s="7" t="str">
        <f>_xlfn.XLOOKUP(C99,'Part code'!A:A,'Part code'!D:D)</f>
        <v>Process C</v>
      </c>
      <c r="E99" s="23">
        <v>240</v>
      </c>
      <c r="F99">
        <f>SUMIFS('Eventos de perdida'!G:G,'Eventos de perdida'!D:D,A99,'Eventos de perdida'!E:E,B99,'Eventos de perdida'!F:F,C99)</f>
        <v>46</v>
      </c>
      <c r="G99">
        <f t="shared" si="1"/>
        <v>194</v>
      </c>
      <c r="H99" s="26">
        <f>ROUNDDOWN(E99/_xlfn.XLOOKUP(C99,'[1]Part code'!A:A,'[1]Part code'!C:C),0)</f>
        <v>200</v>
      </c>
      <c r="I99">
        <f>ROUNDDOWN(G99/_xlfn.XLOOKUP(C99,'[1]Part code'!A:A,'[1]Part code'!C:C),0)</f>
        <v>161</v>
      </c>
      <c r="J99">
        <v>6</v>
      </c>
      <c r="K99" s="29">
        <f>I99*_xlfn.XLOOKUP(C99,'Part code'!A:A,'Part code'!C:C)/G99</f>
        <v>0.99587628865979372</v>
      </c>
    </row>
    <row r="100" spans="1:11">
      <c r="A100" s="9">
        <v>45488</v>
      </c>
      <c r="B100" s="7" t="s">
        <v>46</v>
      </c>
      <c r="C100" s="7" t="s">
        <v>33</v>
      </c>
      <c r="D100" s="7" t="str">
        <f>_xlfn.XLOOKUP(C100,'Part code'!A:A,'Part code'!D:D)</f>
        <v>Process C</v>
      </c>
      <c r="E100" s="23">
        <v>480</v>
      </c>
      <c r="F100">
        <f>SUMIFS('Eventos de perdida'!G:G,'Eventos de perdida'!D:D,A100,'Eventos de perdida'!E:E,B100,'Eventos de perdida'!F:F,C100)</f>
        <v>15</v>
      </c>
      <c r="G100">
        <f t="shared" si="1"/>
        <v>465</v>
      </c>
      <c r="H100" s="26">
        <f>ROUNDDOWN(E100/_xlfn.XLOOKUP(C100,'[1]Part code'!A:A,'[1]Part code'!C:C),0)</f>
        <v>400</v>
      </c>
      <c r="I100">
        <f>ROUNDDOWN(G100/_xlfn.XLOOKUP(C100,'[1]Part code'!A:A,'[1]Part code'!C:C),0)</f>
        <v>387</v>
      </c>
      <c r="J100">
        <v>1</v>
      </c>
      <c r="K100" s="29">
        <f>I100*_xlfn.XLOOKUP(C100,'Part code'!A:A,'Part code'!C:C)/G100</f>
        <v>0.99870967741935479</v>
      </c>
    </row>
    <row r="101" spans="1:11">
      <c r="A101" s="9">
        <v>45489</v>
      </c>
      <c r="B101" s="7" t="s">
        <v>46</v>
      </c>
      <c r="C101" s="7" t="s">
        <v>25</v>
      </c>
      <c r="D101" s="7" t="str">
        <f>_xlfn.XLOOKUP(C101,'Part code'!A:A,'Part code'!D:D)</f>
        <v>Process A</v>
      </c>
      <c r="E101" s="23">
        <v>480</v>
      </c>
      <c r="F101">
        <f>SUMIFS('Eventos de perdida'!G:G,'Eventos de perdida'!D:D,A101,'Eventos de perdida'!E:E,B101,'Eventos de perdida'!F:F,C101)</f>
        <v>0</v>
      </c>
      <c r="G101">
        <f t="shared" si="1"/>
        <v>480</v>
      </c>
      <c r="H101" s="26">
        <f>ROUNDDOWN(E101/_xlfn.XLOOKUP(C101,'[1]Part code'!A:A,'[1]Part code'!C:C),0)</f>
        <v>480</v>
      </c>
      <c r="I101">
        <f>ROUNDDOWN(G101/_xlfn.XLOOKUP(C101,'[1]Part code'!A:A,'[1]Part code'!C:C),0)</f>
        <v>480</v>
      </c>
      <c r="J101">
        <v>5</v>
      </c>
      <c r="K101" s="29">
        <f>I101*_xlfn.XLOOKUP(C101,'Part code'!A:A,'Part code'!C:C)/G101</f>
        <v>1</v>
      </c>
    </row>
    <row r="102" spans="1:11">
      <c r="A102" s="9">
        <v>45489</v>
      </c>
      <c r="B102" s="7" t="s">
        <v>47</v>
      </c>
      <c r="C102" s="7" t="s">
        <v>23</v>
      </c>
      <c r="D102" s="7" t="str">
        <f>_xlfn.XLOOKUP(C102,'Part code'!A:A,'Part code'!D:D)</f>
        <v>Process A</v>
      </c>
      <c r="E102">
        <v>300</v>
      </c>
      <c r="F102">
        <f>SUMIFS('Eventos de perdida'!G:G,'Eventos de perdida'!D:D,A102,'Eventos de perdida'!E:E,B102,'Eventos de perdida'!F:F,C102)</f>
        <v>4</v>
      </c>
      <c r="G102">
        <f t="shared" si="1"/>
        <v>296</v>
      </c>
      <c r="H102" s="26">
        <f>ROUNDDOWN(E102/_xlfn.XLOOKUP(C102,'[1]Part code'!A:A,'[1]Part code'!C:C),0)</f>
        <v>300</v>
      </c>
      <c r="I102">
        <f>ROUNDDOWN(G102/_xlfn.XLOOKUP(C102,'[1]Part code'!A:A,'[1]Part code'!C:C),0)</f>
        <v>296</v>
      </c>
      <c r="J102">
        <v>3</v>
      </c>
      <c r="K102" s="29">
        <f>I102*_xlfn.XLOOKUP(C102,'Part code'!A:A,'Part code'!C:C)/G102</f>
        <v>1</v>
      </c>
    </row>
    <row r="103" spans="1:11">
      <c r="A103" s="9">
        <v>45489</v>
      </c>
      <c r="B103" s="7" t="s">
        <v>47</v>
      </c>
      <c r="C103" s="7" t="s">
        <v>25</v>
      </c>
      <c r="D103" s="7" t="str">
        <f>_xlfn.XLOOKUP(C103,'Part code'!A:A,'Part code'!D:D)</f>
        <v>Process A</v>
      </c>
      <c r="E103">
        <v>180</v>
      </c>
      <c r="F103">
        <f>SUMIFS('Eventos de perdida'!G:G,'Eventos de perdida'!D:D,A103,'Eventos de perdida'!E:E,B103,'Eventos de perdida'!F:F,C103)</f>
        <v>4</v>
      </c>
      <c r="G103">
        <f t="shared" si="1"/>
        <v>176</v>
      </c>
      <c r="H103" s="26">
        <f>ROUNDDOWN(E103/_xlfn.XLOOKUP(C103,'[1]Part code'!A:A,'[1]Part code'!C:C),0)</f>
        <v>180</v>
      </c>
      <c r="I103">
        <f>ROUNDDOWN(G103/_xlfn.XLOOKUP(C103,'[1]Part code'!A:A,'[1]Part code'!C:C),0)</f>
        <v>176</v>
      </c>
      <c r="J103">
        <v>3</v>
      </c>
      <c r="K103" s="29">
        <f>I103*_xlfn.XLOOKUP(C103,'Part code'!A:A,'Part code'!C:C)/G103</f>
        <v>1</v>
      </c>
    </row>
    <row r="104" spans="1:11">
      <c r="A104" s="9">
        <v>45489</v>
      </c>
      <c r="B104" s="7" t="s">
        <v>47</v>
      </c>
      <c r="C104" s="7" t="s">
        <v>29</v>
      </c>
      <c r="D104" s="7" t="str">
        <f>_xlfn.XLOOKUP(C104,'Part code'!A:A,'Part code'!D:D)</f>
        <v>Process B</v>
      </c>
      <c r="E104" s="23">
        <v>480</v>
      </c>
      <c r="F104">
        <f>SUMIFS('Eventos de perdida'!G:G,'Eventos de perdida'!D:D,A104,'Eventos de perdida'!E:E,B104,'Eventos de perdida'!F:F,C104)</f>
        <v>25</v>
      </c>
      <c r="G104">
        <f t="shared" si="1"/>
        <v>455</v>
      </c>
      <c r="H104" s="26">
        <f>ROUNDDOWN(E104/_xlfn.XLOOKUP(C104,'[1]Part code'!A:A,'[1]Part code'!C:C),0)</f>
        <v>505</v>
      </c>
      <c r="I104">
        <f>ROUNDDOWN(G104/_xlfn.XLOOKUP(C104,'[1]Part code'!A:A,'[1]Part code'!C:C),0)</f>
        <v>478</v>
      </c>
      <c r="J104">
        <v>2</v>
      </c>
      <c r="K104" s="29">
        <f>I104*_xlfn.XLOOKUP(C104,'Part code'!A:A,'Part code'!C:C)/G104</f>
        <v>0.9980219780219779</v>
      </c>
    </row>
    <row r="105" spans="1:11">
      <c r="A105" s="9">
        <v>45489</v>
      </c>
      <c r="B105" s="7" t="s">
        <v>46</v>
      </c>
      <c r="C105" s="7" t="s">
        <v>27</v>
      </c>
      <c r="D105" s="7" t="str">
        <f>_xlfn.XLOOKUP(C105,'Part code'!A:A,'Part code'!D:D)</f>
        <v>Process B</v>
      </c>
      <c r="E105">
        <v>300</v>
      </c>
      <c r="F105">
        <f>SUMIFS('Eventos de perdida'!G:G,'Eventos de perdida'!D:D,A105,'Eventos de perdida'!E:E,B105,'Eventos de perdida'!F:F,C105)</f>
        <v>5</v>
      </c>
      <c r="G105">
        <f t="shared" si="1"/>
        <v>295</v>
      </c>
      <c r="H105" s="26">
        <f>ROUNDDOWN(E105/_xlfn.XLOOKUP(C105,'[1]Part code'!A:A,'[1]Part code'!C:C),0)</f>
        <v>333</v>
      </c>
      <c r="I105">
        <f>ROUNDDOWN(G105/_xlfn.XLOOKUP(C105,'[1]Part code'!A:A,'[1]Part code'!C:C),0)</f>
        <v>327</v>
      </c>
      <c r="J105">
        <v>0</v>
      </c>
      <c r="K105" s="29">
        <f>I105*_xlfn.XLOOKUP(C105,'Part code'!A:A,'Part code'!C:C)/G105</f>
        <v>0.99762711864406783</v>
      </c>
    </row>
    <row r="106" spans="1:11">
      <c r="A106" s="9">
        <v>45489</v>
      </c>
      <c r="B106" s="7" t="s">
        <v>46</v>
      </c>
      <c r="C106" s="7" t="s">
        <v>29</v>
      </c>
      <c r="D106" s="7" t="str">
        <f>_xlfn.XLOOKUP(C106,'Part code'!A:A,'Part code'!D:D)</f>
        <v>Process B</v>
      </c>
      <c r="E106">
        <v>180</v>
      </c>
      <c r="F106">
        <f>SUMIFS('Eventos de perdida'!G:G,'Eventos de perdida'!D:D,A106,'Eventos de perdida'!E:E,B106,'Eventos de perdida'!F:F,C106)</f>
        <v>0</v>
      </c>
      <c r="G106">
        <f t="shared" si="1"/>
        <v>180</v>
      </c>
      <c r="H106" s="26">
        <f>ROUNDDOWN(E106/_xlfn.XLOOKUP(C106,'[1]Part code'!A:A,'[1]Part code'!C:C),0)</f>
        <v>189</v>
      </c>
      <c r="I106">
        <f>ROUNDDOWN(G106/_xlfn.XLOOKUP(C106,'[1]Part code'!A:A,'[1]Part code'!C:C),0)</f>
        <v>189</v>
      </c>
      <c r="J106">
        <v>6</v>
      </c>
      <c r="K106" s="29">
        <f>I106*_xlfn.XLOOKUP(C106,'Part code'!A:A,'Part code'!C:C)/G106</f>
        <v>0.99749999999999994</v>
      </c>
    </row>
    <row r="107" spans="1:11">
      <c r="A107" s="9">
        <v>45489</v>
      </c>
      <c r="B107" s="7" t="s">
        <v>47</v>
      </c>
      <c r="C107" s="7" t="s">
        <v>33</v>
      </c>
      <c r="D107" s="7" t="str">
        <f>_xlfn.XLOOKUP(C107,'Part code'!A:A,'Part code'!D:D)</f>
        <v>Process C</v>
      </c>
      <c r="E107" s="23">
        <v>480</v>
      </c>
      <c r="F107">
        <f>SUMIFS('Eventos de perdida'!G:G,'Eventos de perdida'!D:D,A107,'Eventos de perdida'!E:E,B107,'Eventos de perdida'!F:F,C107)</f>
        <v>61</v>
      </c>
      <c r="G107">
        <f t="shared" si="1"/>
        <v>419</v>
      </c>
      <c r="H107" s="26">
        <f>ROUNDDOWN(E107/_xlfn.XLOOKUP(C107,'[1]Part code'!A:A,'[1]Part code'!C:C),0)</f>
        <v>400</v>
      </c>
      <c r="I107">
        <f>ROUNDDOWN(G107/_xlfn.XLOOKUP(C107,'[1]Part code'!A:A,'[1]Part code'!C:C),0)</f>
        <v>349</v>
      </c>
      <c r="J107">
        <v>7</v>
      </c>
      <c r="K107" s="29">
        <f>I107*_xlfn.XLOOKUP(C107,'Part code'!A:A,'Part code'!C:C)/G107</f>
        <v>0.99952267303102627</v>
      </c>
    </row>
    <row r="108" spans="1:11">
      <c r="A108" s="9">
        <v>45489</v>
      </c>
      <c r="B108" s="7" t="s">
        <v>46</v>
      </c>
      <c r="C108" s="7" t="s">
        <v>31</v>
      </c>
      <c r="D108" s="7" t="str">
        <f>_xlfn.XLOOKUP(C108,'Part code'!A:A,'Part code'!D:D)</f>
        <v>Process C</v>
      </c>
      <c r="E108">
        <v>300</v>
      </c>
      <c r="F108">
        <f>SUMIFS('Eventos de perdida'!G:G,'Eventos de perdida'!D:D,A108,'Eventos de perdida'!E:E,B108,'Eventos de perdida'!F:F,C108)</f>
        <v>4</v>
      </c>
      <c r="G108">
        <f t="shared" si="1"/>
        <v>296</v>
      </c>
      <c r="H108" s="26">
        <f>ROUNDDOWN(E108/_xlfn.XLOOKUP(C108,'[1]Part code'!A:A,'[1]Part code'!C:C),0)</f>
        <v>272</v>
      </c>
      <c r="I108">
        <f>ROUNDDOWN(G108/_xlfn.XLOOKUP(C108,'[1]Part code'!A:A,'[1]Part code'!C:C),0)</f>
        <v>269</v>
      </c>
      <c r="J108">
        <v>3</v>
      </c>
      <c r="K108" s="29">
        <f>I108*_xlfn.XLOOKUP(C108,'Part code'!A:A,'Part code'!C:C)/G108</f>
        <v>0.9996621621621623</v>
      </c>
    </row>
    <row r="109" spans="1:11">
      <c r="A109" s="9">
        <v>45489</v>
      </c>
      <c r="B109" s="7" t="s">
        <v>46</v>
      </c>
      <c r="C109" s="7" t="s">
        <v>33</v>
      </c>
      <c r="D109" s="7" t="str">
        <f>_xlfn.XLOOKUP(C109,'Part code'!A:A,'Part code'!D:D)</f>
        <v>Process C</v>
      </c>
      <c r="E109">
        <v>180</v>
      </c>
      <c r="F109">
        <f>SUMIFS('Eventos de perdida'!G:G,'Eventos de perdida'!D:D,A109,'Eventos de perdida'!E:E,B109,'Eventos de perdida'!F:F,C109)</f>
        <v>0</v>
      </c>
      <c r="G109">
        <f t="shared" si="1"/>
        <v>180</v>
      </c>
      <c r="H109" s="26">
        <f>ROUNDDOWN(E109/_xlfn.XLOOKUP(C109,'[1]Part code'!A:A,'[1]Part code'!C:C),0)</f>
        <v>150</v>
      </c>
      <c r="I109">
        <f>ROUNDDOWN(G109/_xlfn.XLOOKUP(C109,'[1]Part code'!A:A,'[1]Part code'!C:C),0)</f>
        <v>150</v>
      </c>
      <c r="J109">
        <v>4</v>
      </c>
      <c r="K109" s="29">
        <f>I109*_xlfn.XLOOKUP(C109,'Part code'!A:A,'Part code'!C:C)/G109</f>
        <v>1</v>
      </c>
    </row>
    <row r="110" spans="1:11">
      <c r="A110" s="9">
        <v>45490</v>
      </c>
      <c r="B110" s="7" t="s">
        <v>47</v>
      </c>
      <c r="C110" s="7" t="s">
        <v>23</v>
      </c>
      <c r="D110" s="7" t="str">
        <f>_xlfn.XLOOKUP(C110,'Part code'!A:A,'Part code'!D:D)</f>
        <v>Process A</v>
      </c>
      <c r="E110" s="23">
        <v>480</v>
      </c>
      <c r="F110">
        <f>SUMIFS('Eventos de perdida'!G:G,'Eventos de perdida'!D:D,A110,'Eventos de perdida'!E:E,B110,'Eventos de perdida'!F:F,C110)</f>
        <v>25</v>
      </c>
      <c r="G110">
        <f t="shared" si="1"/>
        <v>455</v>
      </c>
      <c r="H110" s="26">
        <f>ROUNDDOWN(E110/_xlfn.XLOOKUP(C110,'[1]Part code'!A:A,'[1]Part code'!C:C),0)</f>
        <v>480</v>
      </c>
      <c r="I110">
        <f>ROUNDDOWN(G110/_xlfn.XLOOKUP(C110,'[1]Part code'!A:A,'[1]Part code'!C:C),0)</f>
        <v>455</v>
      </c>
      <c r="J110">
        <v>0</v>
      </c>
      <c r="K110" s="29">
        <f>I110*_xlfn.XLOOKUP(C110,'Part code'!A:A,'Part code'!C:C)/G110</f>
        <v>1</v>
      </c>
    </row>
    <row r="111" spans="1:11">
      <c r="A111" s="9">
        <v>45490</v>
      </c>
      <c r="B111" s="7" t="s">
        <v>46</v>
      </c>
      <c r="C111" s="7" t="s">
        <v>23</v>
      </c>
      <c r="D111" s="7" t="str">
        <f>_xlfn.XLOOKUP(C111,'Part code'!A:A,'Part code'!D:D)</f>
        <v>Process A</v>
      </c>
      <c r="E111" s="23">
        <v>240</v>
      </c>
      <c r="F111">
        <f>SUMIFS('Eventos de perdida'!G:G,'Eventos de perdida'!D:D,A111,'Eventos de perdida'!E:E,B111,'Eventos de perdida'!F:F,C111)</f>
        <v>15</v>
      </c>
      <c r="G111">
        <f t="shared" si="1"/>
        <v>225</v>
      </c>
      <c r="H111" s="26">
        <f>ROUNDDOWN(E111/_xlfn.XLOOKUP(C111,'[1]Part code'!A:A,'[1]Part code'!C:C),0)</f>
        <v>240</v>
      </c>
      <c r="I111">
        <f>ROUNDDOWN(G111/_xlfn.XLOOKUP(C111,'[1]Part code'!A:A,'[1]Part code'!C:C),0)</f>
        <v>225</v>
      </c>
      <c r="J111">
        <v>4</v>
      </c>
      <c r="K111" s="29">
        <f>I111*_xlfn.XLOOKUP(C111,'Part code'!A:A,'Part code'!C:C)/G111</f>
        <v>1</v>
      </c>
    </row>
    <row r="112" spans="1:11">
      <c r="A112" s="9">
        <v>45490</v>
      </c>
      <c r="B112" s="7" t="s">
        <v>46</v>
      </c>
      <c r="C112" s="7" t="s">
        <v>25</v>
      </c>
      <c r="D112" s="7" t="str">
        <f>_xlfn.XLOOKUP(C112,'Part code'!A:A,'Part code'!D:D)</f>
        <v>Process A</v>
      </c>
      <c r="E112" s="23">
        <v>240</v>
      </c>
      <c r="F112">
        <f>SUMIFS('Eventos de perdida'!G:G,'Eventos de perdida'!D:D,A112,'Eventos de perdida'!E:E,B112,'Eventos de perdida'!F:F,C112)</f>
        <v>54</v>
      </c>
      <c r="G112">
        <f t="shared" si="1"/>
        <v>186</v>
      </c>
      <c r="H112" s="26">
        <f>ROUNDDOWN(E112/_xlfn.XLOOKUP(C112,'[1]Part code'!A:A,'[1]Part code'!C:C),0)</f>
        <v>240</v>
      </c>
      <c r="I112">
        <f>ROUNDDOWN(G112/_xlfn.XLOOKUP(C112,'[1]Part code'!A:A,'[1]Part code'!C:C),0)</f>
        <v>186</v>
      </c>
      <c r="J112">
        <v>3</v>
      </c>
      <c r="K112" s="29">
        <f>I112*_xlfn.XLOOKUP(C112,'Part code'!A:A,'Part code'!C:C)/G112</f>
        <v>1</v>
      </c>
    </row>
    <row r="113" spans="1:11">
      <c r="A113" s="9">
        <v>45490</v>
      </c>
      <c r="B113" s="7" t="s">
        <v>46</v>
      </c>
      <c r="C113" s="7" t="s">
        <v>27</v>
      </c>
      <c r="D113" s="7" t="str">
        <f>_xlfn.XLOOKUP(C113,'Part code'!A:A,'Part code'!D:D)</f>
        <v>Process B</v>
      </c>
      <c r="E113" s="23">
        <v>480</v>
      </c>
      <c r="F113">
        <f>SUMIFS('Eventos de perdida'!G:G,'Eventos de perdida'!D:D,A113,'Eventos de perdida'!E:E,B113,'Eventos de perdida'!F:F,C113)</f>
        <v>40</v>
      </c>
      <c r="G113">
        <f t="shared" si="1"/>
        <v>440</v>
      </c>
      <c r="H113" s="26">
        <f>ROUNDDOWN(E113/_xlfn.XLOOKUP(C113,'[1]Part code'!A:A,'[1]Part code'!C:C),0)</f>
        <v>533</v>
      </c>
      <c r="I113">
        <f>ROUNDDOWN(G113/_xlfn.XLOOKUP(C113,'[1]Part code'!A:A,'[1]Part code'!C:C),0)</f>
        <v>488</v>
      </c>
      <c r="J113">
        <v>4</v>
      </c>
      <c r="K113" s="29">
        <f>I113*_xlfn.XLOOKUP(C113,'Part code'!A:A,'Part code'!C:C)/G113</f>
        <v>0.99818181818181817</v>
      </c>
    </row>
    <row r="114" spans="1:11">
      <c r="A114" s="9">
        <v>45490</v>
      </c>
      <c r="B114" s="7" t="s">
        <v>47</v>
      </c>
      <c r="C114" s="7" t="s">
        <v>29</v>
      </c>
      <c r="D114" s="7" t="str">
        <f>_xlfn.XLOOKUP(C114,'Part code'!A:A,'Part code'!D:D)</f>
        <v>Process B</v>
      </c>
      <c r="E114" s="23">
        <v>240</v>
      </c>
      <c r="F114">
        <f>SUMIFS('Eventos de perdida'!G:G,'Eventos de perdida'!D:D,A114,'Eventos de perdida'!E:E,B114,'Eventos de perdida'!F:F,C114)</f>
        <v>9</v>
      </c>
      <c r="G114">
        <f t="shared" si="1"/>
        <v>231</v>
      </c>
      <c r="H114" s="26">
        <f>ROUNDDOWN(E114/_xlfn.XLOOKUP(C114,'[1]Part code'!A:A,'[1]Part code'!C:C),0)</f>
        <v>252</v>
      </c>
      <c r="I114">
        <f>ROUNDDOWN(G114/_xlfn.XLOOKUP(C114,'[1]Part code'!A:A,'[1]Part code'!C:C),0)</f>
        <v>243</v>
      </c>
      <c r="J114">
        <v>1</v>
      </c>
      <c r="K114" s="29">
        <f>I114*_xlfn.XLOOKUP(C114,'Part code'!A:A,'Part code'!C:C)/G114</f>
        <v>0.99935064935064932</v>
      </c>
    </row>
    <row r="115" spans="1:11">
      <c r="A115" s="9">
        <v>45490</v>
      </c>
      <c r="B115" s="7" t="s">
        <v>47</v>
      </c>
      <c r="C115" s="7" t="s">
        <v>27</v>
      </c>
      <c r="D115" s="7" t="str">
        <f>_xlfn.XLOOKUP(C115,'Part code'!A:A,'Part code'!D:D)</f>
        <v>Process B</v>
      </c>
      <c r="E115" s="23">
        <v>240</v>
      </c>
      <c r="F115">
        <f>SUMIFS('Eventos de perdida'!G:G,'Eventos de perdida'!D:D,A115,'Eventos de perdida'!E:E,B115,'Eventos de perdida'!F:F,C115)</f>
        <v>0</v>
      </c>
      <c r="G115">
        <f t="shared" si="1"/>
        <v>240</v>
      </c>
      <c r="H115" s="26">
        <f>ROUNDDOWN(E115/_xlfn.XLOOKUP(C115,'[1]Part code'!A:A,'[1]Part code'!C:C),0)</f>
        <v>266</v>
      </c>
      <c r="I115">
        <f>ROUNDDOWN(G115/_xlfn.XLOOKUP(C115,'[1]Part code'!A:A,'[1]Part code'!C:C),0)</f>
        <v>266</v>
      </c>
      <c r="J115">
        <v>7</v>
      </c>
      <c r="K115" s="29">
        <f>I115*_xlfn.XLOOKUP(C115,'Part code'!A:A,'Part code'!C:C)/G115</f>
        <v>0.99750000000000005</v>
      </c>
    </row>
    <row r="116" spans="1:11">
      <c r="A116" s="9">
        <v>45490</v>
      </c>
      <c r="B116" s="7" t="s">
        <v>46</v>
      </c>
      <c r="C116" s="7" t="s">
        <v>31</v>
      </c>
      <c r="D116" s="7" t="str">
        <f>_xlfn.XLOOKUP(C116,'Part code'!A:A,'Part code'!D:D)</f>
        <v>Process C</v>
      </c>
      <c r="E116" s="23">
        <v>480</v>
      </c>
      <c r="F116">
        <f>SUMIFS('Eventos de perdida'!G:G,'Eventos de perdida'!D:D,A116,'Eventos de perdida'!E:E,B116,'Eventos de perdida'!F:F,C116)</f>
        <v>15</v>
      </c>
      <c r="G116">
        <f t="shared" si="1"/>
        <v>465</v>
      </c>
      <c r="H116" s="26">
        <f>ROUNDDOWN(E116/_xlfn.XLOOKUP(C116,'[1]Part code'!A:A,'[1]Part code'!C:C),0)</f>
        <v>436</v>
      </c>
      <c r="I116">
        <f>ROUNDDOWN(G116/_xlfn.XLOOKUP(C116,'[1]Part code'!A:A,'[1]Part code'!C:C),0)</f>
        <v>422</v>
      </c>
      <c r="J116">
        <v>1</v>
      </c>
      <c r="K116" s="29">
        <f>I116*_xlfn.XLOOKUP(C116,'Part code'!A:A,'Part code'!C:C)/G116</f>
        <v>0.99827956989247324</v>
      </c>
    </row>
    <row r="117" spans="1:11">
      <c r="A117" s="9">
        <v>45490</v>
      </c>
      <c r="B117" s="7" t="s">
        <v>47</v>
      </c>
      <c r="C117" s="7" t="s">
        <v>33</v>
      </c>
      <c r="D117" s="7" t="str">
        <f>_xlfn.XLOOKUP(C117,'Part code'!A:A,'Part code'!D:D)</f>
        <v>Process C</v>
      </c>
      <c r="E117" s="23">
        <v>240</v>
      </c>
      <c r="F117">
        <f>SUMIFS('Eventos de perdida'!G:G,'Eventos de perdida'!D:D,A117,'Eventos de perdida'!E:E,B117,'Eventos de perdida'!F:F,C117)</f>
        <v>9</v>
      </c>
      <c r="G117">
        <f t="shared" si="1"/>
        <v>231</v>
      </c>
      <c r="H117" s="26">
        <f>ROUNDDOWN(E117/_xlfn.XLOOKUP(C117,'[1]Part code'!A:A,'[1]Part code'!C:C),0)</f>
        <v>200</v>
      </c>
      <c r="I117">
        <f>ROUNDDOWN(G117/_xlfn.XLOOKUP(C117,'[1]Part code'!A:A,'[1]Part code'!C:C),0)</f>
        <v>192</v>
      </c>
      <c r="J117">
        <v>6</v>
      </c>
      <c r="K117" s="29">
        <f>I117*_xlfn.XLOOKUP(C117,'Part code'!A:A,'Part code'!C:C)/G117</f>
        <v>0.99740259740259729</v>
      </c>
    </row>
    <row r="118" spans="1:11">
      <c r="A118" s="9">
        <v>45490</v>
      </c>
      <c r="B118" s="7" t="s">
        <v>47</v>
      </c>
      <c r="C118" s="7" t="s">
        <v>31</v>
      </c>
      <c r="D118" s="7" t="str">
        <f>_xlfn.XLOOKUP(C118,'Part code'!A:A,'Part code'!D:D)</f>
        <v>Process C</v>
      </c>
      <c r="E118" s="23">
        <v>240</v>
      </c>
      <c r="F118">
        <f>SUMIFS('Eventos de perdida'!G:G,'Eventos de perdida'!D:D,A118,'Eventos de perdida'!E:E,B118,'Eventos de perdida'!F:F,C118)</f>
        <v>4</v>
      </c>
      <c r="G118">
        <f t="shared" si="1"/>
        <v>236</v>
      </c>
      <c r="H118" s="26">
        <f>ROUNDDOWN(E118/_xlfn.XLOOKUP(C118,'[1]Part code'!A:A,'[1]Part code'!C:C),0)</f>
        <v>218</v>
      </c>
      <c r="I118">
        <f>ROUNDDOWN(G118/_xlfn.XLOOKUP(C118,'[1]Part code'!A:A,'[1]Part code'!C:C),0)</f>
        <v>214</v>
      </c>
      <c r="J118">
        <v>5</v>
      </c>
      <c r="K118" s="29">
        <f>I118*_xlfn.XLOOKUP(C118,'Part code'!A:A,'Part code'!C:C)/G118</f>
        <v>0.99745762711864405</v>
      </c>
    </row>
    <row r="119" spans="1:11">
      <c r="A119" s="9">
        <v>45491</v>
      </c>
      <c r="B119" s="7" t="s">
        <v>47</v>
      </c>
      <c r="C119" s="7" t="s">
        <v>23</v>
      </c>
      <c r="D119" s="7" t="str">
        <f>_xlfn.XLOOKUP(C119,'Part code'!A:A,'Part code'!D:D)</f>
        <v>Process A</v>
      </c>
      <c r="E119" s="23">
        <v>180</v>
      </c>
      <c r="F119">
        <f>SUMIFS('Eventos de perdida'!G:G,'Eventos de perdida'!D:D,A119,'Eventos de perdida'!E:E,B119,'Eventos de perdida'!F:F,C119)</f>
        <v>9</v>
      </c>
      <c r="G119">
        <f t="shared" si="1"/>
        <v>171</v>
      </c>
      <c r="H119" s="26">
        <f>ROUNDDOWN(E119/_xlfn.XLOOKUP(C119,'[1]Part code'!A:A,'[1]Part code'!C:C),0)</f>
        <v>180</v>
      </c>
      <c r="I119">
        <f>ROUNDDOWN(G119/_xlfn.XLOOKUP(C119,'[1]Part code'!A:A,'[1]Part code'!C:C),0)</f>
        <v>171</v>
      </c>
      <c r="J119">
        <v>2</v>
      </c>
      <c r="K119" s="29">
        <f>I119*_xlfn.XLOOKUP(C119,'Part code'!A:A,'Part code'!C:C)/G119</f>
        <v>1</v>
      </c>
    </row>
    <row r="120" spans="1:11">
      <c r="A120" s="9">
        <v>45491</v>
      </c>
      <c r="B120" s="7" t="s">
        <v>47</v>
      </c>
      <c r="C120" s="7" t="s">
        <v>25</v>
      </c>
      <c r="D120" s="7" t="str">
        <f>_xlfn.XLOOKUP(C120,'Part code'!A:A,'Part code'!D:D)</f>
        <v>Process A</v>
      </c>
      <c r="E120" s="23">
        <v>300</v>
      </c>
      <c r="F120">
        <f>SUMIFS('Eventos de perdida'!G:G,'Eventos de perdida'!D:D,A120,'Eventos de perdida'!E:E,B120,'Eventos de perdida'!F:F,C120)</f>
        <v>0</v>
      </c>
      <c r="G120">
        <f t="shared" si="1"/>
        <v>300</v>
      </c>
      <c r="H120" s="26">
        <f>ROUNDDOWN(E120/_xlfn.XLOOKUP(C120,'[1]Part code'!A:A,'[1]Part code'!C:C),0)</f>
        <v>300</v>
      </c>
      <c r="I120">
        <f>ROUNDDOWN(G120/_xlfn.XLOOKUP(C120,'[1]Part code'!A:A,'[1]Part code'!C:C),0)</f>
        <v>300</v>
      </c>
      <c r="J120">
        <v>2</v>
      </c>
      <c r="K120" s="29">
        <f>I120*_xlfn.XLOOKUP(C120,'Part code'!A:A,'Part code'!C:C)/G120</f>
        <v>1</v>
      </c>
    </row>
    <row r="121" spans="1:11">
      <c r="A121" s="9">
        <v>45491</v>
      </c>
      <c r="B121" s="7" t="s">
        <v>46</v>
      </c>
      <c r="C121" s="7" t="s">
        <v>23</v>
      </c>
      <c r="D121" s="7" t="str">
        <f>_xlfn.XLOOKUP(C121,'Part code'!A:A,'Part code'!D:D)</f>
        <v>Process A</v>
      </c>
      <c r="E121" s="23">
        <v>480</v>
      </c>
      <c r="F121">
        <f>SUMIFS('Eventos de perdida'!G:G,'Eventos de perdida'!D:D,A121,'Eventos de perdida'!E:E,B121,'Eventos de perdida'!F:F,C121)</f>
        <v>9</v>
      </c>
      <c r="G121">
        <f t="shared" si="1"/>
        <v>471</v>
      </c>
      <c r="H121" s="26">
        <f>ROUNDDOWN(E121/_xlfn.XLOOKUP(C121,'[1]Part code'!A:A,'[1]Part code'!C:C),0)</f>
        <v>480</v>
      </c>
      <c r="I121">
        <f>ROUNDDOWN(G121/_xlfn.XLOOKUP(C121,'[1]Part code'!A:A,'[1]Part code'!C:C),0)</f>
        <v>471</v>
      </c>
      <c r="J121">
        <v>4</v>
      </c>
      <c r="K121" s="29">
        <f>I121*_xlfn.XLOOKUP(C121,'Part code'!A:A,'Part code'!C:C)/G121</f>
        <v>1</v>
      </c>
    </row>
    <row r="122" spans="1:11">
      <c r="A122" s="9">
        <v>45491</v>
      </c>
      <c r="B122" s="7" t="s">
        <v>46</v>
      </c>
      <c r="C122" s="7" t="s">
        <v>29</v>
      </c>
      <c r="D122" s="7" t="str">
        <f>_xlfn.XLOOKUP(C122,'Part code'!A:A,'Part code'!D:D)</f>
        <v>Process B</v>
      </c>
      <c r="E122" s="23">
        <v>180</v>
      </c>
      <c r="F122">
        <f>SUMIFS('Eventos de perdida'!G:G,'Eventos de perdida'!D:D,A122,'Eventos de perdida'!E:E,B122,'Eventos de perdida'!F:F,C122)</f>
        <v>0</v>
      </c>
      <c r="G122">
        <f t="shared" si="1"/>
        <v>180</v>
      </c>
      <c r="H122" s="26">
        <f>ROUNDDOWN(E122/_xlfn.XLOOKUP(C122,'[1]Part code'!A:A,'[1]Part code'!C:C),0)</f>
        <v>189</v>
      </c>
      <c r="I122">
        <f>ROUNDDOWN(G122/_xlfn.XLOOKUP(C122,'[1]Part code'!A:A,'[1]Part code'!C:C),0)</f>
        <v>189</v>
      </c>
      <c r="J122">
        <v>0</v>
      </c>
      <c r="K122" s="29">
        <f>I122*_xlfn.XLOOKUP(C122,'Part code'!A:A,'Part code'!C:C)/G122</f>
        <v>0.99749999999999994</v>
      </c>
    </row>
    <row r="123" spans="1:11">
      <c r="A123" s="9">
        <v>45491</v>
      </c>
      <c r="B123" s="7" t="s">
        <v>46</v>
      </c>
      <c r="C123" s="7" t="s">
        <v>27</v>
      </c>
      <c r="D123" s="7" t="str">
        <f>_xlfn.XLOOKUP(C123,'Part code'!A:A,'Part code'!D:D)</f>
        <v>Process B</v>
      </c>
      <c r="E123" s="23">
        <v>300</v>
      </c>
      <c r="F123">
        <f>SUMIFS('Eventos de perdida'!G:G,'Eventos de perdida'!D:D,A123,'Eventos de perdida'!E:E,B123,'Eventos de perdida'!F:F,C123)</f>
        <v>8</v>
      </c>
      <c r="G123">
        <f t="shared" si="1"/>
        <v>292</v>
      </c>
      <c r="H123" s="26">
        <f>ROUNDDOWN(E123/_xlfn.XLOOKUP(C123,'[1]Part code'!A:A,'[1]Part code'!C:C),0)</f>
        <v>333</v>
      </c>
      <c r="I123">
        <f>ROUNDDOWN(G123/_xlfn.XLOOKUP(C123,'[1]Part code'!A:A,'[1]Part code'!C:C),0)</f>
        <v>324</v>
      </c>
      <c r="J123">
        <v>4</v>
      </c>
      <c r="K123" s="29">
        <f>I123*_xlfn.XLOOKUP(C123,'Part code'!A:A,'Part code'!C:C)/G123</f>
        <v>0.99863013698630143</v>
      </c>
    </row>
    <row r="124" spans="1:11">
      <c r="A124" s="9">
        <v>45491</v>
      </c>
      <c r="B124" s="7" t="s">
        <v>47</v>
      </c>
      <c r="C124" s="7" t="s">
        <v>29</v>
      </c>
      <c r="D124" s="7" t="str">
        <f>_xlfn.XLOOKUP(C124,'Part code'!A:A,'Part code'!D:D)</f>
        <v>Process B</v>
      </c>
      <c r="E124" s="23">
        <v>480</v>
      </c>
      <c r="F124">
        <f>SUMIFS('Eventos de perdida'!G:G,'Eventos de perdida'!D:D,A124,'Eventos de perdida'!E:E,B124,'Eventos de perdida'!F:F,C124)</f>
        <v>0</v>
      </c>
      <c r="G124">
        <f t="shared" si="1"/>
        <v>480</v>
      </c>
      <c r="H124" s="26">
        <f>ROUNDDOWN(E124/_xlfn.XLOOKUP(C124,'[1]Part code'!A:A,'[1]Part code'!C:C),0)</f>
        <v>505</v>
      </c>
      <c r="I124">
        <f>ROUNDDOWN(G124/_xlfn.XLOOKUP(C124,'[1]Part code'!A:A,'[1]Part code'!C:C),0)</f>
        <v>505</v>
      </c>
      <c r="J124">
        <v>3</v>
      </c>
      <c r="K124" s="29">
        <f>I124*_xlfn.XLOOKUP(C124,'Part code'!A:A,'Part code'!C:C)/G124</f>
        <v>0.9994791666666667</v>
      </c>
    </row>
    <row r="125" spans="1:11">
      <c r="A125" s="9">
        <v>45491</v>
      </c>
      <c r="B125" s="7" t="s">
        <v>47</v>
      </c>
      <c r="C125" s="7" t="s">
        <v>33</v>
      </c>
      <c r="D125" s="7" t="str">
        <f>_xlfn.XLOOKUP(C125,'Part code'!A:A,'Part code'!D:D)</f>
        <v>Process C</v>
      </c>
      <c r="E125" s="23">
        <v>180</v>
      </c>
      <c r="F125">
        <f>SUMIFS('Eventos de perdida'!G:G,'Eventos de perdida'!D:D,A125,'Eventos de perdida'!E:E,B125,'Eventos de perdida'!F:F,C125)</f>
        <v>0</v>
      </c>
      <c r="G125">
        <f t="shared" si="1"/>
        <v>180</v>
      </c>
      <c r="H125" s="26">
        <f>ROUNDDOWN(E125/_xlfn.XLOOKUP(C125,'[1]Part code'!A:A,'[1]Part code'!C:C),0)</f>
        <v>150</v>
      </c>
      <c r="I125">
        <f>ROUNDDOWN(G125/_xlfn.XLOOKUP(C125,'[1]Part code'!A:A,'[1]Part code'!C:C),0)</f>
        <v>150</v>
      </c>
      <c r="J125">
        <v>4</v>
      </c>
      <c r="K125" s="29">
        <f>I125*_xlfn.XLOOKUP(C125,'Part code'!A:A,'Part code'!C:C)/G125</f>
        <v>1</v>
      </c>
    </row>
    <row r="126" spans="1:11">
      <c r="A126" s="9">
        <v>45491</v>
      </c>
      <c r="B126" s="7" t="s">
        <v>47</v>
      </c>
      <c r="C126" s="7" t="s">
        <v>31</v>
      </c>
      <c r="D126" s="7" t="str">
        <f>_xlfn.XLOOKUP(C126,'Part code'!A:A,'Part code'!D:D)</f>
        <v>Process C</v>
      </c>
      <c r="E126" s="23">
        <v>300</v>
      </c>
      <c r="F126">
        <f>SUMIFS('Eventos de perdida'!G:G,'Eventos de perdida'!D:D,A126,'Eventos de perdida'!E:E,B126,'Eventos de perdida'!F:F,C126)</f>
        <v>45</v>
      </c>
      <c r="G126">
        <f t="shared" si="1"/>
        <v>255</v>
      </c>
      <c r="H126" s="26">
        <f>ROUNDDOWN(E126/_xlfn.XLOOKUP(C126,'[1]Part code'!A:A,'[1]Part code'!C:C),0)</f>
        <v>272</v>
      </c>
      <c r="I126">
        <f>ROUNDDOWN(G126/_xlfn.XLOOKUP(C126,'[1]Part code'!A:A,'[1]Part code'!C:C),0)</f>
        <v>231</v>
      </c>
      <c r="J126">
        <v>2</v>
      </c>
      <c r="K126" s="29">
        <f>I126*_xlfn.XLOOKUP(C126,'Part code'!A:A,'Part code'!C:C)/G126</f>
        <v>0.99647058823529422</v>
      </c>
    </row>
    <row r="127" spans="1:11">
      <c r="A127" s="9">
        <v>45491</v>
      </c>
      <c r="B127" s="7" t="s">
        <v>46</v>
      </c>
      <c r="C127" s="7" t="s">
        <v>33</v>
      </c>
      <c r="D127" s="7" t="str">
        <f>_xlfn.XLOOKUP(C127,'Part code'!A:A,'Part code'!D:D)</f>
        <v>Process C</v>
      </c>
      <c r="E127" s="23">
        <v>480</v>
      </c>
      <c r="F127">
        <f>SUMIFS('Eventos de perdida'!G:G,'Eventos de perdida'!D:D,A127,'Eventos de perdida'!E:E,B127,'Eventos de perdida'!F:F,C127)</f>
        <v>0</v>
      </c>
      <c r="G127">
        <f t="shared" si="1"/>
        <v>480</v>
      </c>
      <c r="H127" s="26">
        <f>ROUNDDOWN(E127/_xlfn.XLOOKUP(C127,'[1]Part code'!A:A,'[1]Part code'!C:C),0)</f>
        <v>400</v>
      </c>
      <c r="I127">
        <f>ROUNDDOWN(G127/_xlfn.XLOOKUP(C127,'[1]Part code'!A:A,'[1]Part code'!C:C),0)</f>
        <v>400</v>
      </c>
      <c r="J127">
        <v>5</v>
      </c>
      <c r="K127" s="29">
        <f>I127*_xlfn.XLOOKUP(C127,'Part code'!A:A,'Part code'!C:C)/G127</f>
        <v>1</v>
      </c>
    </row>
    <row r="128" spans="1:11">
      <c r="A128" s="9">
        <v>45492</v>
      </c>
      <c r="B128" s="7" t="s">
        <v>46</v>
      </c>
      <c r="C128" s="7" t="s">
        <v>23</v>
      </c>
      <c r="D128" s="7" t="str">
        <f>_xlfn.XLOOKUP(C128,'Part code'!A:A,'Part code'!D:D)</f>
        <v>Process A</v>
      </c>
      <c r="E128" s="23">
        <v>480</v>
      </c>
      <c r="F128">
        <f>SUMIFS('Eventos de perdida'!G:G,'Eventos de perdida'!D:D,A128,'Eventos de perdida'!E:E,B128,'Eventos de perdida'!F:F,C128)</f>
        <v>0</v>
      </c>
      <c r="G128">
        <f t="shared" si="1"/>
        <v>480</v>
      </c>
      <c r="H128" s="26">
        <f>ROUNDDOWN(E128/_xlfn.XLOOKUP(C128,'[1]Part code'!A:A,'[1]Part code'!C:C),0)</f>
        <v>480</v>
      </c>
      <c r="I128">
        <f>ROUNDDOWN(G128/_xlfn.XLOOKUP(C128,'[1]Part code'!A:A,'[1]Part code'!C:C),0)</f>
        <v>480</v>
      </c>
      <c r="J128">
        <v>4</v>
      </c>
      <c r="K128" s="29">
        <f>I128*_xlfn.XLOOKUP(C128,'Part code'!A:A,'Part code'!C:C)/G128</f>
        <v>1</v>
      </c>
    </row>
    <row r="129" spans="1:11">
      <c r="A129" s="9">
        <v>45492</v>
      </c>
      <c r="B129" s="7" t="s">
        <v>47</v>
      </c>
      <c r="C129" s="7" t="s">
        <v>23</v>
      </c>
      <c r="D129" s="7" t="str">
        <f>_xlfn.XLOOKUP(C129,'Part code'!A:A,'Part code'!D:D)</f>
        <v>Process A</v>
      </c>
      <c r="E129">
        <v>280</v>
      </c>
      <c r="F129">
        <f>SUMIFS('Eventos de perdida'!G:G,'Eventos de perdida'!D:D,A129,'Eventos de perdida'!E:E,B129,'Eventos de perdida'!F:F,C129)</f>
        <v>14</v>
      </c>
      <c r="G129">
        <f t="shared" si="1"/>
        <v>266</v>
      </c>
      <c r="H129" s="26">
        <f>ROUNDDOWN(E129/_xlfn.XLOOKUP(C129,'[1]Part code'!A:A,'[1]Part code'!C:C),0)</f>
        <v>280</v>
      </c>
      <c r="I129">
        <f>ROUNDDOWN(G129/_xlfn.XLOOKUP(C129,'[1]Part code'!A:A,'[1]Part code'!C:C),0)</f>
        <v>266</v>
      </c>
      <c r="J129">
        <v>3</v>
      </c>
      <c r="K129" s="29">
        <f>I129*_xlfn.XLOOKUP(C129,'Part code'!A:A,'Part code'!C:C)/G129</f>
        <v>1</v>
      </c>
    </row>
    <row r="130" spans="1:11">
      <c r="A130" s="9">
        <v>45492</v>
      </c>
      <c r="B130" s="7" t="s">
        <v>47</v>
      </c>
      <c r="C130" s="7" t="s">
        <v>25</v>
      </c>
      <c r="D130" s="7" t="str">
        <f>_xlfn.XLOOKUP(C130,'Part code'!A:A,'Part code'!D:D)</f>
        <v>Process A</v>
      </c>
      <c r="E130">
        <v>200</v>
      </c>
      <c r="F130">
        <f>SUMIFS('Eventos de perdida'!G:G,'Eventos de perdida'!D:D,A130,'Eventos de perdida'!E:E,B130,'Eventos de perdida'!F:F,C130)</f>
        <v>39</v>
      </c>
      <c r="G130">
        <f t="shared" si="1"/>
        <v>161</v>
      </c>
      <c r="H130" s="26">
        <f>ROUNDDOWN(E130/_xlfn.XLOOKUP(C130,'[1]Part code'!A:A,'[1]Part code'!C:C),0)</f>
        <v>200</v>
      </c>
      <c r="I130">
        <f>ROUNDDOWN(G130/_xlfn.XLOOKUP(C130,'[1]Part code'!A:A,'[1]Part code'!C:C),0)</f>
        <v>161</v>
      </c>
      <c r="J130">
        <v>3</v>
      </c>
      <c r="K130" s="29">
        <f>I130*_xlfn.XLOOKUP(C130,'Part code'!A:A,'Part code'!C:C)/G130</f>
        <v>1</v>
      </c>
    </row>
    <row r="131" spans="1:11">
      <c r="A131" s="9">
        <v>45492</v>
      </c>
      <c r="B131" s="7" t="s">
        <v>47</v>
      </c>
      <c r="C131" s="7" t="s">
        <v>27</v>
      </c>
      <c r="D131" s="7" t="str">
        <f>_xlfn.XLOOKUP(C131,'Part code'!A:A,'Part code'!D:D)</f>
        <v>Process B</v>
      </c>
      <c r="E131" s="23">
        <v>480</v>
      </c>
      <c r="F131">
        <f>SUMIFS('Eventos de perdida'!G:G,'Eventos de perdida'!D:D,A131,'Eventos de perdida'!E:E,B131,'Eventos de perdida'!F:F,C131)</f>
        <v>0</v>
      </c>
      <c r="G131">
        <f t="shared" ref="G131:G194" si="2">E131-F131</f>
        <v>480</v>
      </c>
      <c r="H131" s="26">
        <f>ROUNDDOWN(E131/_xlfn.XLOOKUP(C131,'[1]Part code'!A:A,'[1]Part code'!C:C),0)</f>
        <v>533</v>
      </c>
      <c r="I131">
        <f>ROUNDDOWN(G131/_xlfn.XLOOKUP(C131,'[1]Part code'!A:A,'[1]Part code'!C:C),0)</f>
        <v>533</v>
      </c>
      <c r="J131">
        <v>3</v>
      </c>
      <c r="K131" s="29">
        <f>I131*_xlfn.XLOOKUP(C131,'Part code'!A:A,'Part code'!C:C)/G131</f>
        <v>0.99937500000000001</v>
      </c>
    </row>
    <row r="132" spans="1:11">
      <c r="A132" s="9">
        <v>45492</v>
      </c>
      <c r="B132" s="7" t="s">
        <v>46</v>
      </c>
      <c r="C132" s="7" t="s">
        <v>29</v>
      </c>
      <c r="D132" s="7" t="str">
        <f>_xlfn.XLOOKUP(C132,'Part code'!A:A,'Part code'!D:D)</f>
        <v>Process B</v>
      </c>
      <c r="E132">
        <v>280</v>
      </c>
      <c r="F132">
        <f>SUMIFS('Eventos de perdida'!G:G,'Eventos de perdida'!D:D,A132,'Eventos de perdida'!E:E,B132,'Eventos de perdida'!F:F,C132)</f>
        <v>25</v>
      </c>
      <c r="G132">
        <f t="shared" si="2"/>
        <v>255</v>
      </c>
      <c r="H132" s="26">
        <f>ROUNDDOWN(E132/_xlfn.XLOOKUP(C132,'[1]Part code'!A:A,'[1]Part code'!C:C),0)</f>
        <v>294</v>
      </c>
      <c r="I132">
        <f>ROUNDDOWN(G132/_xlfn.XLOOKUP(C132,'[1]Part code'!A:A,'[1]Part code'!C:C),0)</f>
        <v>268</v>
      </c>
      <c r="J132">
        <v>3</v>
      </c>
      <c r="K132" s="29">
        <f>I132*_xlfn.XLOOKUP(C132,'Part code'!A:A,'Part code'!C:C)/G132</f>
        <v>0.99843137254901959</v>
      </c>
    </row>
    <row r="133" spans="1:11">
      <c r="A133" s="9">
        <v>45492</v>
      </c>
      <c r="B133" s="7" t="s">
        <v>46</v>
      </c>
      <c r="C133" s="7" t="s">
        <v>27</v>
      </c>
      <c r="D133" s="7" t="str">
        <f>_xlfn.XLOOKUP(C133,'Part code'!A:A,'Part code'!D:D)</f>
        <v>Process B</v>
      </c>
      <c r="E133">
        <v>200</v>
      </c>
      <c r="F133">
        <f>SUMIFS('Eventos de perdida'!G:G,'Eventos de perdida'!D:D,A133,'Eventos de perdida'!E:E,B133,'Eventos de perdida'!F:F,C133)</f>
        <v>0</v>
      </c>
      <c r="G133">
        <f t="shared" si="2"/>
        <v>200</v>
      </c>
      <c r="H133" s="26">
        <f>ROUNDDOWN(E133/_xlfn.XLOOKUP(C133,'[1]Part code'!A:A,'[1]Part code'!C:C),0)</f>
        <v>222</v>
      </c>
      <c r="I133">
        <f>ROUNDDOWN(G133/_xlfn.XLOOKUP(C133,'[1]Part code'!A:A,'[1]Part code'!C:C),0)</f>
        <v>222</v>
      </c>
      <c r="J133">
        <v>0</v>
      </c>
      <c r="K133" s="29">
        <f>I133*_xlfn.XLOOKUP(C133,'Part code'!A:A,'Part code'!C:C)/G133</f>
        <v>0.99900000000000011</v>
      </c>
    </row>
    <row r="134" spans="1:11">
      <c r="A134" s="9">
        <v>45492</v>
      </c>
      <c r="B134" s="7" t="s">
        <v>46</v>
      </c>
      <c r="C134" s="7" t="s">
        <v>31</v>
      </c>
      <c r="D134" s="7" t="str">
        <f>_xlfn.XLOOKUP(C134,'Part code'!A:A,'Part code'!D:D)</f>
        <v>Process C</v>
      </c>
      <c r="E134" s="23">
        <v>480</v>
      </c>
      <c r="F134">
        <f>SUMIFS('Eventos de perdida'!G:G,'Eventos de perdida'!D:D,A134,'Eventos de perdida'!E:E,B134,'Eventos de perdida'!F:F,C134)</f>
        <v>22</v>
      </c>
      <c r="G134">
        <f t="shared" si="2"/>
        <v>458</v>
      </c>
      <c r="H134" s="26">
        <f>ROUNDDOWN(E134/_xlfn.XLOOKUP(C134,'[1]Part code'!A:A,'[1]Part code'!C:C),0)</f>
        <v>436</v>
      </c>
      <c r="I134">
        <f>ROUNDDOWN(G134/_xlfn.XLOOKUP(C134,'[1]Part code'!A:A,'[1]Part code'!C:C),0)</f>
        <v>416</v>
      </c>
      <c r="J134">
        <v>3</v>
      </c>
      <c r="K134" s="29">
        <f>I134*_xlfn.XLOOKUP(C134,'Part code'!A:A,'Part code'!C:C)/G134</f>
        <v>0.9991266375545852</v>
      </c>
    </row>
    <row r="135" spans="1:11">
      <c r="A135" s="9">
        <v>45492</v>
      </c>
      <c r="B135" s="7" t="s">
        <v>47</v>
      </c>
      <c r="C135" s="7" t="s">
        <v>33</v>
      </c>
      <c r="D135" s="7" t="str">
        <f>_xlfn.XLOOKUP(C135,'Part code'!A:A,'Part code'!D:D)</f>
        <v>Process C</v>
      </c>
      <c r="E135">
        <v>280</v>
      </c>
      <c r="F135">
        <f>SUMIFS('Eventos de perdida'!G:G,'Eventos de perdida'!D:D,A135,'Eventos de perdida'!E:E,B135,'Eventos de perdida'!F:F,C135)</f>
        <v>0</v>
      </c>
      <c r="G135">
        <f t="shared" si="2"/>
        <v>280</v>
      </c>
      <c r="H135" s="26">
        <f>ROUNDDOWN(E135/_xlfn.XLOOKUP(C135,'[1]Part code'!A:A,'[1]Part code'!C:C),0)</f>
        <v>233</v>
      </c>
      <c r="I135">
        <f>ROUNDDOWN(G135/_xlfn.XLOOKUP(C135,'[1]Part code'!A:A,'[1]Part code'!C:C),0)</f>
        <v>233</v>
      </c>
      <c r="J135">
        <v>2</v>
      </c>
      <c r="K135" s="29">
        <f>I135*_xlfn.XLOOKUP(C135,'Part code'!A:A,'Part code'!C:C)/G135</f>
        <v>0.99857142857142844</v>
      </c>
    </row>
    <row r="136" spans="1:11">
      <c r="A136" s="9">
        <v>45492</v>
      </c>
      <c r="B136" s="7" t="s">
        <v>47</v>
      </c>
      <c r="C136" s="7" t="s">
        <v>31</v>
      </c>
      <c r="D136" s="7" t="str">
        <f>_xlfn.XLOOKUP(C136,'Part code'!A:A,'Part code'!D:D)</f>
        <v>Process C</v>
      </c>
      <c r="E136">
        <v>200</v>
      </c>
      <c r="F136">
        <f>SUMIFS('Eventos de perdida'!G:G,'Eventos de perdida'!D:D,A136,'Eventos de perdida'!E:E,B136,'Eventos de perdida'!F:F,C136)</f>
        <v>0</v>
      </c>
      <c r="G136">
        <f t="shared" si="2"/>
        <v>200</v>
      </c>
      <c r="H136" s="26">
        <f>ROUNDDOWN(E136/_xlfn.XLOOKUP(C136,'[1]Part code'!A:A,'[1]Part code'!C:C),0)</f>
        <v>181</v>
      </c>
      <c r="I136">
        <f>ROUNDDOWN(G136/_xlfn.XLOOKUP(C136,'[1]Part code'!A:A,'[1]Part code'!C:C),0)</f>
        <v>181</v>
      </c>
      <c r="J136">
        <v>4</v>
      </c>
      <c r="K136" s="29">
        <f>I136*_xlfn.XLOOKUP(C136,'Part code'!A:A,'Part code'!C:C)/G136</f>
        <v>0.99550000000000016</v>
      </c>
    </row>
    <row r="137" spans="1:11">
      <c r="A137" s="9">
        <v>45495</v>
      </c>
      <c r="B137" s="7" t="s">
        <v>47</v>
      </c>
      <c r="C137" s="7" t="s">
        <v>25</v>
      </c>
      <c r="D137" s="7" t="str">
        <f>_xlfn.XLOOKUP(C137,'Part code'!A:A,'Part code'!D:D)</f>
        <v>Process A</v>
      </c>
      <c r="E137">
        <v>300</v>
      </c>
      <c r="F137">
        <f>SUMIFS('Eventos de perdida'!G:G,'Eventos de perdida'!D:D,A137,'Eventos de perdida'!E:E,B137,'Eventos de perdida'!F:F,C137)</f>
        <v>0</v>
      </c>
      <c r="G137">
        <f t="shared" si="2"/>
        <v>300</v>
      </c>
      <c r="H137" s="26">
        <f>ROUNDDOWN(E137/_xlfn.XLOOKUP(C137,'[1]Part code'!A:A,'[1]Part code'!C:C),0)</f>
        <v>300</v>
      </c>
      <c r="I137">
        <f>ROUNDDOWN(G137/_xlfn.XLOOKUP(C137,'[1]Part code'!A:A,'[1]Part code'!C:C),0)</f>
        <v>300</v>
      </c>
      <c r="J137">
        <v>5</v>
      </c>
      <c r="K137" s="29">
        <f>I137*_xlfn.XLOOKUP(C137,'Part code'!A:A,'Part code'!C:C)/G137</f>
        <v>1</v>
      </c>
    </row>
    <row r="138" spans="1:11">
      <c r="A138" s="9">
        <v>45495</v>
      </c>
      <c r="B138" s="7" t="s">
        <v>47</v>
      </c>
      <c r="C138" s="7" t="s">
        <v>23</v>
      </c>
      <c r="D138" s="7" t="str">
        <f>_xlfn.XLOOKUP(C138,'Part code'!A:A,'Part code'!D:D)</f>
        <v>Process A</v>
      </c>
      <c r="E138">
        <v>180</v>
      </c>
      <c r="F138">
        <f>SUMIFS('Eventos de perdida'!G:G,'Eventos de perdida'!D:D,A138,'Eventos de perdida'!E:E,B138,'Eventos de perdida'!F:F,C138)</f>
        <v>19</v>
      </c>
      <c r="G138">
        <f t="shared" si="2"/>
        <v>161</v>
      </c>
      <c r="H138" s="26">
        <f>ROUNDDOWN(E138/_xlfn.XLOOKUP(C138,'[1]Part code'!A:A,'[1]Part code'!C:C),0)</f>
        <v>180</v>
      </c>
      <c r="I138">
        <f>ROUNDDOWN(G138/_xlfn.XLOOKUP(C138,'[1]Part code'!A:A,'[1]Part code'!C:C),0)</f>
        <v>161</v>
      </c>
      <c r="J138">
        <v>1</v>
      </c>
      <c r="K138" s="29">
        <f>I138*_xlfn.XLOOKUP(C138,'Part code'!A:A,'Part code'!C:C)/G138</f>
        <v>1</v>
      </c>
    </row>
    <row r="139" spans="1:11">
      <c r="A139" s="9">
        <v>45495</v>
      </c>
      <c r="B139" s="7" t="s">
        <v>46</v>
      </c>
      <c r="C139" s="7" t="s">
        <v>25</v>
      </c>
      <c r="D139" s="7" t="str">
        <f>_xlfn.XLOOKUP(C139,'Part code'!A:A,'Part code'!D:D)</f>
        <v>Process A</v>
      </c>
      <c r="E139" s="23">
        <v>480</v>
      </c>
      <c r="F139">
        <f>SUMIFS('Eventos de perdida'!G:G,'Eventos de perdida'!D:D,A139,'Eventos de perdida'!E:E,B139,'Eventos de perdida'!F:F,C139)</f>
        <v>0</v>
      </c>
      <c r="G139">
        <f t="shared" si="2"/>
        <v>480</v>
      </c>
      <c r="H139" s="26">
        <f>ROUNDDOWN(E139/_xlfn.XLOOKUP(C139,'[1]Part code'!A:A,'[1]Part code'!C:C),0)</f>
        <v>480</v>
      </c>
      <c r="I139">
        <f>ROUNDDOWN(G139/_xlfn.XLOOKUP(C139,'[1]Part code'!A:A,'[1]Part code'!C:C),0)</f>
        <v>480</v>
      </c>
      <c r="J139">
        <v>4</v>
      </c>
      <c r="K139" s="29">
        <f>I139*_xlfn.XLOOKUP(C139,'Part code'!A:A,'Part code'!C:C)/G139</f>
        <v>1</v>
      </c>
    </row>
    <row r="140" spans="1:11">
      <c r="A140" s="9">
        <v>45495</v>
      </c>
      <c r="B140" s="7" t="s">
        <v>47</v>
      </c>
      <c r="C140" s="7" t="s">
        <v>29</v>
      </c>
      <c r="D140" s="7" t="str">
        <f>_xlfn.XLOOKUP(C140,'Part code'!A:A,'Part code'!D:D)</f>
        <v>Process B</v>
      </c>
      <c r="E140">
        <v>300</v>
      </c>
      <c r="F140">
        <f>SUMIFS('Eventos de perdida'!G:G,'Eventos de perdida'!D:D,A140,'Eventos de perdida'!E:E,B140,'Eventos de perdida'!F:F,C140)</f>
        <v>0</v>
      </c>
      <c r="G140">
        <f t="shared" si="2"/>
        <v>300</v>
      </c>
      <c r="H140" s="26">
        <f>ROUNDDOWN(E140/_xlfn.XLOOKUP(C140,'[1]Part code'!A:A,'[1]Part code'!C:C),0)</f>
        <v>315</v>
      </c>
      <c r="I140">
        <f>ROUNDDOWN(G140/_xlfn.XLOOKUP(C140,'[1]Part code'!A:A,'[1]Part code'!C:C),0)</f>
        <v>315</v>
      </c>
      <c r="J140">
        <v>3</v>
      </c>
      <c r="K140" s="29">
        <f>I140*_xlfn.XLOOKUP(C140,'Part code'!A:A,'Part code'!C:C)/G140</f>
        <v>0.99750000000000005</v>
      </c>
    </row>
    <row r="141" spans="1:11">
      <c r="A141" s="9">
        <v>45495</v>
      </c>
      <c r="B141" s="7" t="s">
        <v>47</v>
      </c>
      <c r="C141" s="7" t="s">
        <v>27</v>
      </c>
      <c r="D141" s="7" t="str">
        <f>_xlfn.XLOOKUP(C141,'Part code'!A:A,'Part code'!D:D)</f>
        <v>Process B</v>
      </c>
      <c r="E141">
        <v>180</v>
      </c>
      <c r="F141">
        <f>SUMIFS('Eventos de perdida'!G:G,'Eventos de perdida'!D:D,A141,'Eventos de perdida'!E:E,B141,'Eventos de perdida'!F:F,C141)</f>
        <v>32</v>
      </c>
      <c r="G141">
        <f t="shared" si="2"/>
        <v>148</v>
      </c>
      <c r="H141" s="26">
        <f>ROUNDDOWN(E141/_xlfn.XLOOKUP(C141,'[1]Part code'!A:A,'[1]Part code'!C:C),0)</f>
        <v>200</v>
      </c>
      <c r="I141">
        <f>ROUNDDOWN(G141/_xlfn.XLOOKUP(C141,'[1]Part code'!A:A,'[1]Part code'!C:C),0)</f>
        <v>164</v>
      </c>
      <c r="J141">
        <v>7</v>
      </c>
      <c r="K141" s="29">
        <f>I141*_xlfn.XLOOKUP(C141,'Part code'!A:A,'Part code'!C:C)/G141</f>
        <v>0.99729729729729721</v>
      </c>
    </row>
    <row r="142" spans="1:11">
      <c r="A142" s="9">
        <v>45495</v>
      </c>
      <c r="B142" s="7" t="s">
        <v>46</v>
      </c>
      <c r="C142" s="7" t="s">
        <v>27</v>
      </c>
      <c r="D142" s="7" t="str">
        <f>_xlfn.XLOOKUP(C142,'Part code'!A:A,'Part code'!D:D)</f>
        <v>Process B</v>
      </c>
      <c r="E142" s="23">
        <v>480</v>
      </c>
      <c r="F142">
        <f>SUMIFS('Eventos de perdida'!G:G,'Eventos de perdida'!D:D,A142,'Eventos de perdida'!E:E,B142,'Eventos de perdida'!F:F,C142)</f>
        <v>8</v>
      </c>
      <c r="G142">
        <f t="shared" si="2"/>
        <v>472</v>
      </c>
      <c r="H142" s="26">
        <f>ROUNDDOWN(E142/_xlfn.XLOOKUP(C142,'[1]Part code'!A:A,'[1]Part code'!C:C),0)</f>
        <v>533</v>
      </c>
      <c r="I142">
        <f>ROUNDDOWN(G142/_xlfn.XLOOKUP(C142,'[1]Part code'!A:A,'[1]Part code'!C:C),0)</f>
        <v>524</v>
      </c>
      <c r="J142">
        <v>6</v>
      </c>
      <c r="K142" s="29">
        <f>I142*_xlfn.XLOOKUP(C142,'Part code'!A:A,'Part code'!C:C)/G142</f>
        <v>0.99915254237288142</v>
      </c>
    </row>
    <row r="143" spans="1:11">
      <c r="A143" s="9">
        <v>45495</v>
      </c>
      <c r="B143" s="7" t="s">
        <v>46</v>
      </c>
      <c r="C143" s="7" t="s">
        <v>33</v>
      </c>
      <c r="D143" s="7" t="str">
        <f>_xlfn.XLOOKUP(C143,'Part code'!A:A,'Part code'!D:D)</f>
        <v>Process C</v>
      </c>
      <c r="E143">
        <v>300</v>
      </c>
      <c r="F143">
        <f>SUMIFS('Eventos de perdida'!G:G,'Eventos de perdida'!D:D,A143,'Eventos de perdida'!E:E,B143,'Eventos de perdida'!F:F,C143)</f>
        <v>1</v>
      </c>
      <c r="G143">
        <f t="shared" si="2"/>
        <v>299</v>
      </c>
      <c r="H143" s="26">
        <f>ROUNDDOWN(E143/_xlfn.XLOOKUP(C143,'[1]Part code'!A:A,'[1]Part code'!C:C),0)</f>
        <v>250</v>
      </c>
      <c r="I143">
        <f>ROUNDDOWN(G143/_xlfn.XLOOKUP(C143,'[1]Part code'!A:A,'[1]Part code'!C:C),0)</f>
        <v>249</v>
      </c>
      <c r="J143">
        <v>2</v>
      </c>
      <c r="K143" s="29">
        <f>I143*_xlfn.XLOOKUP(C143,'Part code'!A:A,'Part code'!C:C)/G143</f>
        <v>0.99933110367892986</v>
      </c>
    </row>
    <row r="144" spans="1:11">
      <c r="A144" s="9">
        <v>45495</v>
      </c>
      <c r="B144" s="7" t="s">
        <v>46</v>
      </c>
      <c r="C144" s="7" t="s">
        <v>31</v>
      </c>
      <c r="D144" s="7" t="str">
        <f>_xlfn.XLOOKUP(C144,'Part code'!A:A,'Part code'!D:D)</f>
        <v>Process C</v>
      </c>
      <c r="E144">
        <v>180</v>
      </c>
      <c r="F144">
        <f>SUMIFS('Eventos de perdida'!G:G,'Eventos de perdida'!D:D,A144,'Eventos de perdida'!E:E,B144,'Eventos de perdida'!F:F,C144)</f>
        <v>0</v>
      </c>
      <c r="G144">
        <f t="shared" si="2"/>
        <v>180</v>
      </c>
      <c r="H144" s="26">
        <f>ROUNDDOWN(E144/_xlfn.XLOOKUP(C144,'[1]Part code'!A:A,'[1]Part code'!C:C),0)</f>
        <v>163</v>
      </c>
      <c r="I144">
        <f>ROUNDDOWN(G144/_xlfn.XLOOKUP(C144,'[1]Part code'!A:A,'[1]Part code'!C:C),0)</f>
        <v>163</v>
      </c>
      <c r="J144">
        <v>0</v>
      </c>
      <c r="K144" s="29">
        <f>I144*_xlfn.XLOOKUP(C144,'Part code'!A:A,'Part code'!C:C)/G144</f>
        <v>0.99611111111111117</v>
      </c>
    </row>
    <row r="145" spans="1:11">
      <c r="A145" s="9">
        <v>45495</v>
      </c>
      <c r="B145" s="7" t="s">
        <v>47</v>
      </c>
      <c r="C145" s="7" t="s">
        <v>33</v>
      </c>
      <c r="D145" s="7" t="str">
        <f>_xlfn.XLOOKUP(C145,'Part code'!A:A,'Part code'!D:D)</f>
        <v>Process C</v>
      </c>
      <c r="E145" s="23">
        <v>480</v>
      </c>
      <c r="F145">
        <f>SUMIFS('Eventos de perdida'!G:G,'Eventos de perdida'!D:D,A145,'Eventos de perdida'!E:E,B145,'Eventos de perdida'!F:F,C145)</f>
        <v>0</v>
      </c>
      <c r="G145">
        <f t="shared" si="2"/>
        <v>480</v>
      </c>
      <c r="H145" s="26">
        <f>ROUNDDOWN(E145/_xlfn.XLOOKUP(C145,'[1]Part code'!A:A,'[1]Part code'!C:C),0)</f>
        <v>400</v>
      </c>
      <c r="I145">
        <f>ROUNDDOWN(G145/_xlfn.XLOOKUP(C145,'[1]Part code'!A:A,'[1]Part code'!C:C),0)</f>
        <v>400</v>
      </c>
      <c r="J145">
        <v>0</v>
      </c>
      <c r="K145" s="29">
        <f>I145*_xlfn.XLOOKUP(C145,'Part code'!A:A,'Part code'!C:C)/G145</f>
        <v>1</v>
      </c>
    </row>
    <row r="146" spans="1:11">
      <c r="A146" s="9">
        <v>45496</v>
      </c>
      <c r="B146" s="7" t="s">
        <v>47</v>
      </c>
      <c r="C146" s="7" t="s">
        <v>23</v>
      </c>
      <c r="D146" s="7" t="str">
        <f>_xlfn.XLOOKUP(C146,'Part code'!A:A,'Part code'!D:D)</f>
        <v>Process A</v>
      </c>
      <c r="E146" s="23">
        <v>480</v>
      </c>
      <c r="F146">
        <f>SUMIFS('Eventos de perdida'!G:G,'Eventos de perdida'!D:D,A146,'Eventos de perdida'!E:E,B146,'Eventos de perdida'!F:F,C146)</f>
        <v>0</v>
      </c>
      <c r="G146">
        <f t="shared" si="2"/>
        <v>480</v>
      </c>
      <c r="H146" s="26">
        <f>ROUNDDOWN(E146/_xlfn.XLOOKUP(C146,'[1]Part code'!A:A,'[1]Part code'!C:C),0)</f>
        <v>480</v>
      </c>
      <c r="I146">
        <f>ROUNDDOWN(G146/_xlfn.XLOOKUP(C146,'[1]Part code'!A:A,'[1]Part code'!C:C),0)</f>
        <v>480</v>
      </c>
      <c r="J146">
        <v>4</v>
      </c>
      <c r="K146" s="29">
        <f>I146*_xlfn.XLOOKUP(C146,'Part code'!A:A,'Part code'!C:C)/G146</f>
        <v>1</v>
      </c>
    </row>
    <row r="147" spans="1:11">
      <c r="A147" s="9">
        <v>45496</v>
      </c>
      <c r="B147" s="7" t="s">
        <v>46</v>
      </c>
      <c r="C147" s="7" t="s">
        <v>23</v>
      </c>
      <c r="D147" s="7" t="str">
        <f>_xlfn.XLOOKUP(C147,'Part code'!A:A,'Part code'!D:D)</f>
        <v>Process A</v>
      </c>
      <c r="E147" s="23">
        <v>240</v>
      </c>
      <c r="F147">
        <f>SUMIFS('Eventos de perdida'!G:G,'Eventos de perdida'!D:D,A147,'Eventos de perdida'!E:E,B147,'Eventos de perdida'!F:F,C147)</f>
        <v>11</v>
      </c>
      <c r="G147">
        <f t="shared" si="2"/>
        <v>229</v>
      </c>
      <c r="H147" s="26">
        <f>ROUNDDOWN(E147/_xlfn.XLOOKUP(C147,'[1]Part code'!A:A,'[1]Part code'!C:C),0)</f>
        <v>240</v>
      </c>
      <c r="I147">
        <f>ROUNDDOWN(G147/_xlfn.XLOOKUP(C147,'[1]Part code'!A:A,'[1]Part code'!C:C),0)</f>
        <v>229</v>
      </c>
      <c r="J147">
        <v>4</v>
      </c>
      <c r="K147" s="29">
        <f>I147*_xlfn.XLOOKUP(C147,'Part code'!A:A,'Part code'!C:C)/G147</f>
        <v>1</v>
      </c>
    </row>
    <row r="148" spans="1:11">
      <c r="A148" s="9">
        <v>45496</v>
      </c>
      <c r="B148" s="7" t="s">
        <v>46</v>
      </c>
      <c r="C148" s="7" t="s">
        <v>25</v>
      </c>
      <c r="D148" s="7" t="str">
        <f>_xlfn.XLOOKUP(C148,'Part code'!A:A,'Part code'!D:D)</f>
        <v>Process A</v>
      </c>
      <c r="E148" s="23">
        <v>240</v>
      </c>
      <c r="F148">
        <f>SUMIFS('Eventos de perdida'!G:G,'Eventos de perdida'!D:D,A148,'Eventos de perdida'!E:E,B148,'Eventos de perdida'!F:F,C148)</f>
        <v>0</v>
      </c>
      <c r="G148">
        <f t="shared" si="2"/>
        <v>240</v>
      </c>
      <c r="H148" s="26">
        <f>ROUNDDOWN(E148/_xlfn.XLOOKUP(C148,'[1]Part code'!A:A,'[1]Part code'!C:C),0)</f>
        <v>240</v>
      </c>
      <c r="I148">
        <f>ROUNDDOWN(G148/_xlfn.XLOOKUP(C148,'[1]Part code'!A:A,'[1]Part code'!C:C),0)</f>
        <v>240</v>
      </c>
      <c r="J148">
        <v>3</v>
      </c>
      <c r="K148" s="29">
        <f>I148*_xlfn.XLOOKUP(C148,'Part code'!A:A,'Part code'!C:C)/G148</f>
        <v>1</v>
      </c>
    </row>
    <row r="149" spans="1:11">
      <c r="A149" s="9">
        <v>45496</v>
      </c>
      <c r="B149" s="7" t="s">
        <v>46</v>
      </c>
      <c r="C149" s="7" t="s">
        <v>27</v>
      </c>
      <c r="D149" s="7" t="str">
        <f>_xlfn.XLOOKUP(C149,'Part code'!A:A,'Part code'!D:D)</f>
        <v>Process B</v>
      </c>
      <c r="E149" s="23">
        <v>480</v>
      </c>
      <c r="F149">
        <f>SUMIFS('Eventos de perdida'!G:G,'Eventos de perdida'!D:D,A149,'Eventos de perdida'!E:E,B149,'Eventos de perdida'!F:F,C149)</f>
        <v>0</v>
      </c>
      <c r="G149">
        <f t="shared" si="2"/>
        <v>480</v>
      </c>
      <c r="H149" s="26">
        <f>ROUNDDOWN(E149/_xlfn.XLOOKUP(C149,'[1]Part code'!A:A,'[1]Part code'!C:C),0)</f>
        <v>533</v>
      </c>
      <c r="I149">
        <f>ROUNDDOWN(G149/_xlfn.XLOOKUP(C149,'[1]Part code'!A:A,'[1]Part code'!C:C),0)</f>
        <v>533</v>
      </c>
      <c r="J149">
        <v>3</v>
      </c>
      <c r="K149" s="29">
        <f>I149*_xlfn.XLOOKUP(C149,'Part code'!A:A,'Part code'!C:C)/G149</f>
        <v>0.99937500000000001</v>
      </c>
    </row>
    <row r="150" spans="1:11">
      <c r="A150" s="9">
        <v>45496</v>
      </c>
      <c r="B150" s="7" t="s">
        <v>47</v>
      </c>
      <c r="C150" s="7" t="s">
        <v>29</v>
      </c>
      <c r="D150" s="7" t="str">
        <f>_xlfn.XLOOKUP(C150,'Part code'!A:A,'Part code'!D:D)</f>
        <v>Process B</v>
      </c>
      <c r="E150" s="23">
        <v>240</v>
      </c>
      <c r="F150">
        <f>SUMIFS('Eventos de perdida'!G:G,'Eventos de perdida'!D:D,A150,'Eventos de perdida'!E:E,B150,'Eventos de perdida'!F:F,C150)</f>
        <v>0</v>
      </c>
      <c r="G150">
        <f t="shared" si="2"/>
        <v>240</v>
      </c>
      <c r="H150" s="26">
        <f>ROUNDDOWN(E150/_xlfn.XLOOKUP(C150,'[1]Part code'!A:A,'[1]Part code'!C:C),0)</f>
        <v>252</v>
      </c>
      <c r="I150">
        <f>ROUNDDOWN(G150/_xlfn.XLOOKUP(C150,'[1]Part code'!A:A,'[1]Part code'!C:C),0)</f>
        <v>252</v>
      </c>
      <c r="J150">
        <v>4</v>
      </c>
      <c r="K150" s="29">
        <f>I150*_xlfn.XLOOKUP(C150,'Part code'!A:A,'Part code'!C:C)/G150</f>
        <v>0.99749999999999994</v>
      </c>
    </row>
    <row r="151" spans="1:11">
      <c r="A151" s="9">
        <v>45496</v>
      </c>
      <c r="B151" s="7" t="s">
        <v>47</v>
      </c>
      <c r="C151" s="7" t="s">
        <v>27</v>
      </c>
      <c r="D151" s="7" t="str">
        <f>_xlfn.XLOOKUP(C151,'Part code'!A:A,'Part code'!D:D)</f>
        <v>Process B</v>
      </c>
      <c r="E151" s="23">
        <v>240</v>
      </c>
      <c r="F151">
        <f>SUMIFS('Eventos de perdida'!G:G,'Eventos de perdida'!D:D,A151,'Eventos de perdida'!E:E,B151,'Eventos de perdida'!F:F,C151)</f>
        <v>6</v>
      </c>
      <c r="G151">
        <f t="shared" si="2"/>
        <v>234</v>
      </c>
      <c r="H151" s="26">
        <f>ROUNDDOWN(E151/_xlfn.XLOOKUP(C151,'[1]Part code'!A:A,'[1]Part code'!C:C),0)</f>
        <v>266</v>
      </c>
      <c r="I151">
        <f>ROUNDDOWN(G151/_xlfn.XLOOKUP(C151,'[1]Part code'!A:A,'[1]Part code'!C:C),0)</f>
        <v>260</v>
      </c>
      <c r="J151">
        <v>1</v>
      </c>
      <c r="K151" s="29">
        <f>I151*_xlfn.XLOOKUP(C151,'Part code'!A:A,'Part code'!C:C)/G151</f>
        <v>1</v>
      </c>
    </row>
    <row r="152" spans="1:11">
      <c r="A152" s="9">
        <v>45496</v>
      </c>
      <c r="B152" s="7" t="s">
        <v>47</v>
      </c>
      <c r="C152" s="7" t="s">
        <v>31</v>
      </c>
      <c r="D152" s="7" t="str">
        <f>_xlfn.XLOOKUP(C152,'Part code'!A:A,'Part code'!D:D)</f>
        <v>Process C</v>
      </c>
      <c r="E152" s="23">
        <v>480</v>
      </c>
      <c r="F152">
        <f>SUMIFS('Eventos de perdida'!G:G,'Eventos de perdida'!D:D,A152,'Eventos de perdida'!E:E,B152,'Eventos de perdida'!F:F,C152)</f>
        <v>7</v>
      </c>
      <c r="G152">
        <f t="shared" si="2"/>
        <v>473</v>
      </c>
      <c r="H152" s="26">
        <f>ROUNDDOWN(E152/_xlfn.XLOOKUP(C152,'[1]Part code'!A:A,'[1]Part code'!C:C),0)</f>
        <v>436</v>
      </c>
      <c r="I152">
        <f>ROUNDDOWN(G152/_xlfn.XLOOKUP(C152,'[1]Part code'!A:A,'[1]Part code'!C:C),0)</f>
        <v>430</v>
      </c>
      <c r="J152">
        <v>1</v>
      </c>
      <c r="K152" s="29">
        <f>I152*_xlfn.XLOOKUP(C152,'Part code'!A:A,'Part code'!C:C)/G152</f>
        <v>1.0000000000000002</v>
      </c>
    </row>
    <row r="153" spans="1:11">
      <c r="A153" s="9">
        <v>45496</v>
      </c>
      <c r="B153" s="7" t="s">
        <v>46</v>
      </c>
      <c r="C153" s="7" t="s">
        <v>33</v>
      </c>
      <c r="D153" s="7" t="str">
        <f>_xlfn.XLOOKUP(C153,'Part code'!A:A,'Part code'!D:D)</f>
        <v>Process C</v>
      </c>
      <c r="E153" s="23">
        <v>240</v>
      </c>
      <c r="F153">
        <f>SUMIFS('Eventos de perdida'!G:G,'Eventos de perdida'!D:D,A153,'Eventos de perdida'!E:E,B153,'Eventos de perdida'!F:F,C153)</f>
        <v>9</v>
      </c>
      <c r="G153">
        <f t="shared" si="2"/>
        <v>231</v>
      </c>
      <c r="H153" s="26">
        <f>ROUNDDOWN(E153/_xlfn.XLOOKUP(C153,'[1]Part code'!A:A,'[1]Part code'!C:C),0)</f>
        <v>200</v>
      </c>
      <c r="I153">
        <f>ROUNDDOWN(G153/_xlfn.XLOOKUP(C153,'[1]Part code'!A:A,'[1]Part code'!C:C),0)</f>
        <v>192</v>
      </c>
      <c r="J153">
        <v>3</v>
      </c>
      <c r="K153" s="29">
        <f>I153*_xlfn.XLOOKUP(C153,'Part code'!A:A,'Part code'!C:C)/G153</f>
        <v>0.99740259740259729</v>
      </c>
    </row>
    <row r="154" spans="1:11">
      <c r="A154" s="9">
        <v>45496</v>
      </c>
      <c r="B154" s="7" t="s">
        <v>46</v>
      </c>
      <c r="C154" s="7" t="s">
        <v>31</v>
      </c>
      <c r="D154" s="7" t="str">
        <f>_xlfn.XLOOKUP(C154,'Part code'!A:A,'Part code'!D:D)</f>
        <v>Process C</v>
      </c>
      <c r="E154" s="23">
        <v>240</v>
      </c>
      <c r="F154">
        <f>SUMIFS('Eventos de perdida'!G:G,'Eventos de perdida'!D:D,A154,'Eventos de perdida'!E:E,B154,'Eventos de perdida'!F:F,C154)</f>
        <v>0</v>
      </c>
      <c r="G154">
        <f t="shared" si="2"/>
        <v>240</v>
      </c>
      <c r="H154" s="26">
        <f>ROUNDDOWN(E154/_xlfn.XLOOKUP(C154,'[1]Part code'!A:A,'[1]Part code'!C:C),0)</f>
        <v>218</v>
      </c>
      <c r="I154">
        <f>ROUNDDOWN(G154/_xlfn.XLOOKUP(C154,'[1]Part code'!A:A,'[1]Part code'!C:C),0)</f>
        <v>218</v>
      </c>
      <c r="J154">
        <v>2</v>
      </c>
      <c r="K154" s="29">
        <f>I154*_xlfn.XLOOKUP(C154,'Part code'!A:A,'Part code'!C:C)/G154</f>
        <v>0.99916666666666676</v>
      </c>
    </row>
    <row r="155" spans="1:11">
      <c r="A155" s="9">
        <v>45497</v>
      </c>
      <c r="B155" s="7" t="s">
        <v>47</v>
      </c>
      <c r="C155" s="7" t="s">
        <v>25</v>
      </c>
      <c r="D155" s="7" t="str">
        <f>_xlfn.XLOOKUP(C155,'Part code'!A:A,'Part code'!D:D)</f>
        <v>Process A</v>
      </c>
      <c r="E155" s="23">
        <v>480</v>
      </c>
      <c r="F155">
        <f>SUMIFS('Eventos de perdida'!G:G,'Eventos de perdida'!D:D,A155,'Eventos de perdida'!E:E,B155,'Eventos de perdida'!F:F,C155)</f>
        <v>19</v>
      </c>
      <c r="G155">
        <f t="shared" si="2"/>
        <v>461</v>
      </c>
      <c r="H155" s="26">
        <f>ROUNDDOWN(E155/_xlfn.XLOOKUP(C155,'[1]Part code'!A:A,'[1]Part code'!C:C),0)</f>
        <v>480</v>
      </c>
      <c r="I155">
        <f>ROUNDDOWN(G155/_xlfn.XLOOKUP(C155,'[1]Part code'!A:A,'[1]Part code'!C:C),0)</f>
        <v>461</v>
      </c>
      <c r="J155">
        <v>1</v>
      </c>
      <c r="K155" s="29">
        <f>I155*_xlfn.XLOOKUP(C155,'Part code'!A:A,'Part code'!C:C)/G155</f>
        <v>1</v>
      </c>
    </row>
    <row r="156" spans="1:11">
      <c r="A156" s="9">
        <v>45497</v>
      </c>
      <c r="B156" s="7" t="s">
        <v>46</v>
      </c>
      <c r="C156" s="7" t="s">
        <v>23</v>
      </c>
      <c r="D156" s="7" t="str">
        <f>_xlfn.XLOOKUP(C156,'Part code'!A:A,'Part code'!D:D)</f>
        <v>Process A</v>
      </c>
      <c r="E156">
        <v>300</v>
      </c>
      <c r="F156">
        <f>SUMIFS('Eventos de perdida'!G:G,'Eventos de perdida'!D:D,A156,'Eventos de perdida'!E:E,B156,'Eventos de perdida'!F:F,C156)</f>
        <v>0</v>
      </c>
      <c r="G156">
        <f t="shared" si="2"/>
        <v>300</v>
      </c>
      <c r="H156" s="26">
        <f>ROUNDDOWN(E156/_xlfn.XLOOKUP(C156,'[1]Part code'!A:A,'[1]Part code'!C:C),0)</f>
        <v>300</v>
      </c>
      <c r="I156">
        <f>ROUNDDOWN(G156/_xlfn.XLOOKUP(C156,'[1]Part code'!A:A,'[1]Part code'!C:C),0)</f>
        <v>300</v>
      </c>
      <c r="J156">
        <v>4</v>
      </c>
      <c r="K156" s="29">
        <f>I156*_xlfn.XLOOKUP(C156,'Part code'!A:A,'Part code'!C:C)/G156</f>
        <v>1</v>
      </c>
    </row>
    <row r="157" spans="1:11">
      <c r="A157" s="9">
        <v>45497</v>
      </c>
      <c r="B157" s="7" t="s">
        <v>46</v>
      </c>
      <c r="C157" s="7" t="s">
        <v>25</v>
      </c>
      <c r="D157" s="7" t="str">
        <f>_xlfn.XLOOKUP(C157,'Part code'!A:A,'Part code'!D:D)</f>
        <v>Process A</v>
      </c>
      <c r="E157">
        <v>180</v>
      </c>
      <c r="F157">
        <f>SUMIFS('Eventos de perdida'!G:G,'Eventos de perdida'!D:D,A157,'Eventos de perdida'!E:E,B157,'Eventos de perdida'!F:F,C157)</f>
        <v>87</v>
      </c>
      <c r="G157">
        <f t="shared" si="2"/>
        <v>93</v>
      </c>
      <c r="H157" s="26">
        <f>ROUNDDOWN(E157/_xlfn.XLOOKUP(C157,'[1]Part code'!A:A,'[1]Part code'!C:C),0)</f>
        <v>180</v>
      </c>
      <c r="I157">
        <f>ROUNDDOWN(G157/_xlfn.XLOOKUP(C157,'[1]Part code'!A:A,'[1]Part code'!C:C),0)</f>
        <v>93</v>
      </c>
      <c r="J157">
        <v>2</v>
      </c>
      <c r="K157" s="29">
        <f>I157*_xlfn.XLOOKUP(C157,'Part code'!A:A,'Part code'!C:C)/G157</f>
        <v>1</v>
      </c>
    </row>
    <row r="158" spans="1:11">
      <c r="A158" s="9">
        <v>45497</v>
      </c>
      <c r="B158" s="7" t="s">
        <v>46</v>
      </c>
      <c r="C158" s="7" t="s">
        <v>29</v>
      </c>
      <c r="D158" s="7" t="str">
        <f>_xlfn.XLOOKUP(C158,'Part code'!A:A,'Part code'!D:D)</f>
        <v>Process B</v>
      </c>
      <c r="E158" s="23">
        <v>480</v>
      </c>
      <c r="F158">
        <f>SUMIFS('Eventos de perdida'!G:G,'Eventos de perdida'!D:D,A158,'Eventos de perdida'!E:E,B158,'Eventos de perdida'!F:F,C158)</f>
        <v>0</v>
      </c>
      <c r="G158">
        <f t="shared" si="2"/>
        <v>480</v>
      </c>
      <c r="H158" s="26">
        <f>ROUNDDOWN(E158/_xlfn.XLOOKUP(C158,'[1]Part code'!A:A,'[1]Part code'!C:C),0)</f>
        <v>505</v>
      </c>
      <c r="I158">
        <f>ROUNDDOWN(G158/_xlfn.XLOOKUP(C158,'[1]Part code'!A:A,'[1]Part code'!C:C),0)</f>
        <v>505</v>
      </c>
      <c r="J158">
        <v>6</v>
      </c>
      <c r="K158" s="29">
        <f>I158*_xlfn.XLOOKUP(C158,'Part code'!A:A,'Part code'!C:C)/G158</f>
        <v>0.9994791666666667</v>
      </c>
    </row>
    <row r="159" spans="1:11">
      <c r="A159" s="9">
        <v>45497</v>
      </c>
      <c r="B159" s="7" t="s">
        <v>47</v>
      </c>
      <c r="C159" s="7" t="s">
        <v>27</v>
      </c>
      <c r="D159" s="7" t="str">
        <f>_xlfn.XLOOKUP(C159,'Part code'!A:A,'Part code'!D:D)</f>
        <v>Process B</v>
      </c>
      <c r="E159">
        <v>300</v>
      </c>
      <c r="F159">
        <f>SUMIFS('Eventos de perdida'!G:G,'Eventos de perdida'!D:D,A159,'Eventos de perdida'!E:E,B159,'Eventos de perdida'!F:F,C159)</f>
        <v>0</v>
      </c>
      <c r="G159">
        <f t="shared" si="2"/>
        <v>300</v>
      </c>
      <c r="H159" s="26">
        <f>ROUNDDOWN(E159/_xlfn.XLOOKUP(C159,'[1]Part code'!A:A,'[1]Part code'!C:C),0)</f>
        <v>333</v>
      </c>
      <c r="I159">
        <f>ROUNDDOWN(G159/_xlfn.XLOOKUP(C159,'[1]Part code'!A:A,'[1]Part code'!C:C),0)</f>
        <v>333</v>
      </c>
      <c r="J159">
        <v>0</v>
      </c>
      <c r="K159" s="29">
        <f>I159*_xlfn.XLOOKUP(C159,'Part code'!A:A,'Part code'!C:C)/G159</f>
        <v>0.999</v>
      </c>
    </row>
    <row r="160" spans="1:11">
      <c r="A160" s="9">
        <v>45497</v>
      </c>
      <c r="B160" s="7" t="s">
        <v>47</v>
      </c>
      <c r="C160" s="7" t="s">
        <v>29</v>
      </c>
      <c r="D160" s="7" t="str">
        <f>_xlfn.XLOOKUP(C160,'Part code'!A:A,'Part code'!D:D)</f>
        <v>Process B</v>
      </c>
      <c r="E160">
        <v>180</v>
      </c>
      <c r="F160">
        <f>SUMIFS('Eventos de perdida'!G:G,'Eventos de perdida'!D:D,A160,'Eventos de perdida'!E:E,B160,'Eventos de perdida'!F:F,C160)</f>
        <v>0</v>
      </c>
      <c r="G160">
        <f t="shared" si="2"/>
        <v>180</v>
      </c>
      <c r="H160" s="26">
        <f>ROUNDDOWN(E160/_xlfn.XLOOKUP(C160,'[1]Part code'!A:A,'[1]Part code'!C:C),0)</f>
        <v>189</v>
      </c>
      <c r="I160">
        <f>ROUNDDOWN(G160/_xlfn.XLOOKUP(C160,'[1]Part code'!A:A,'[1]Part code'!C:C),0)</f>
        <v>189</v>
      </c>
      <c r="J160">
        <v>3</v>
      </c>
      <c r="K160" s="29">
        <f>I160*_xlfn.XLOOKUP(C160,'Part code'!A:A,'Part code'!C:C)/G160</f>
        <v>0.99749999999999994</v>
      </c>
    </row>
    <row r="161" spans="1:11">
      <c r="A161" s="9">
        <v>45497</v>
      </c>
      <c r="B161" s="7" t="s">
        <v>46</v>
      </c>
      <c r="C161" s="7" t="s">
        <v>33</v>
      </c>
      <c r="D161" s="7" t="str">
        <f>_xlfn.XLOOKUP(C161,'Part code'!A:A,'Part code'!D:D)</f>
        <v>Process C</v>
      </c>
      <c r="E161" s="23">
        <v>480</v>
      </c>
      <c r="F161">
        <f>SUMIFS('Eventos de perdida'!G:G,'Eventos de perdida'!D:D,A161,'Eventos de perdida'!E:E,B161,'Eventos de perdida'!F:F,C161)</f>
        <v>46</v>
      </c>
      <c r="G161">
        <f t="shared" si="2"/>
        <v>434</v>
      </c>
      <c r="H161" s="26">
        <f>ROUNDDOWN(E161/_xlfn.XLOOKUP(C161,'[1]Part code'!A:A,'[1]Part code'!C:C),0)</f>
        <v>400</v>
      </c>
      <c r="I161">
        <f>ROUNDDOWN(G161/_xlfn.XLOOKUP(C161,'[1]Part code'!A:A,'[1]Part code'!C:C),0)</f>
        <v>361</v>
      </c>
      <c r="J161">
        <v>7</v>
      </c>
      <c r="K161" s="29">
        <f>I161*_xlfn.XLOOKUP(C161,'Part code'!A:A,'Part code'!C:C)/G161</f>
        <v>0.99815668202764973</v>
      </c>
    </row>
    <row r="162" spans="1:11">
      <c r="A162" s="9">
        <v>45497</v>
      </c>
      <c r="B162" s="7" t="s">
        <v>47</v>
      </c>
      <c r="C162" s="7" t="s">
        <v>31</v>
      </c>
      <c r="D162" s="7" t="str">
        <f>_xlfn.XLOOKUP(C162,'Part code'!A:A,'Part code'!D:D)</f>
        <v>Process C</v>
      </c>
      <c r="E162">
        <v>300</v>
      </c>
      <c r="F162">
        <f>SUMIFS('Eventos de perdida'!G:G,'Eventos de perdida'!D:D,A162,'Eventos de perdida'!E:E,B162,'Eventos de perdida'!F:F,C162)</f>
        <v>15</v>
      </c>
      <c r="G162">
        <f t="shared" si="2"/>
        <v>285</v>
      </c>
      <c r="H162" s="26">
        <f>ROUNDDOWN(E162/_xlfn.XLOOKUP(C162,'[1]Part code'!A:A,'[1]Part code'!C:C),0)</f>
        <v>272</v>
      </c>
      <c r="I162">
        <f>ROUNDDOWN(G162/_xlfn.XLOOKUP(C162,'[1]Part code'!A:A,'[1]Part code'!C:C),0)</f>
        <v>259</v>
      </c>
      <c r="J162">
        <v>4</v>
      </c>
      <c r="K162" s="29">
        <f>I162*_xlfn.XLOOKUP(C162,'Part code'!A:A,'Part code'!C:C)/G162</f>
        <v>0.99964912280701768</v>
      </c>
    </row>
    <row r="163" spans="1:11">
      <c r="A163" s="9">
        <v>45497</v>
      </c>
      <c r="B163" s="7" t="s">
        <v>47</v>
      </c>
      <c r="C163" s="7" t="s">
        <v>33</v>
      </c>
      <c r="D163" s="7" t="str">
        <f>_xlfn.XLOOKUP(C163,'Part code'!A:A,'Part code'!D:D)</f>
        <v>Process C</v>
      </c>
      <c r="E163">
        <v>180</v>
      </c>
      <c r="F163">
        <f>SUMIFS('Eventos de perdida'!G:G,'Eventos de perdida'!D:D,A163,'Eventos de perdida'!E:E,B163,'Eventos de perdida'!F:F,C163)</f>
        <v>0</v>
      </c>
      <c r="G163">
        <f t="shared" si="2"/>
        <v>180</v>
      </c>
      <c r="H163" s="26">
        <f>ROUNDDOWN(E163/_xlfn.XLOOKUP(C163,'[1]Part code'!A:A,'[1]Part code'!C:C),0)</f>
        <v>150</v>
      </c>
      <c r="I163">
        <f>ROUNDDOWN(G163/_xlfn.XLOOKUP(C163,'[1]Part code'!A:A,'[1]Part code'!C:C),0)</f>
        <v>150</v>
      </c>
      <c r="J163">
        <v>4</v>
      </c>
      <c r="K163" s="29">
        <f>I163*_xlfn.XLOOKUP(C163,'Part code'!A:A,'Part code'!C:C)/G163</f>
        <v>1</v>
      </c>
    </row>
    <row r="164" spans="1:11">
      <c r="A164" s="9">
        <v>45498</v>
      </c>
      <c r="B164" s="7" t="s">
        <v>46</v>
      </c>
      <c r="C164" s="7" t="s">
        <v>25</v>
      </c>
      <c r="D164" s="7" t="str">
        <f>_xlfn.XLOOKUP(C164,'Part code'!A:A,'Part code'!D:D)</f>
        <v>Process A</v>
      </c>
      <c r="E164" s="23">
        <v>180</v>
      </c>
      <c r="F164">
        <f>SUMIFS('Eventos de perdida'!G:G,'Eventos de perdida'!D:D,A164,'Eventos de perdida'!E:E,B164,'Eventos de perdida'!F:F,C164)</f>
        <v>0</v>
      </c>
      <c r="G164">
        <f t="shared" si="2"/>
        <v>180</v>
      </c>
      <c r="H164" s="26">
        <f>ROUNDDOWN(E164/_xlfn.XLOOKUP(C164,'[1]Part code'!A:A,'[1]Part code'!C:C),0)</f>
        <v>180</v>
      </c>
      <c r="I164">
        <f>ROUNDDOWN(G164/_xlfn.XLOOKUP(C164,'[1]Part code'!A:A,'[1]Part code'!C:C),0)</f>
        <v>180</v>
      </c>
      <c r="J164">
        <v>3</v>
      </c>
      <c r="K164" s="29">
        <f>I164*_xlfn.XLOOKUP(C164,'Part code'!A:A,'Part code'!C:C)/G164</f>
        <v>1</v>
      </c>
    </row>
    <row r="165" spans="1:11">
      <c r="A165" s="9">
        <v>45498</v>
      </c>
      <c r="B165" s="7" t="s">
        <v>46</v>
      </c>
      <c r="C165" s="7" t="s">
        <v>23</v>
      </c>
      <c r="D165" s="7" t="str">
        <f>_xlfn.XLOOKUP(C165,'Part code'!A:A,'Part code'!D:D)</f>
        <v>Process A</v>
      </c>
      <c r="E165" s="23">
        <v>300</v>
      </c>
      <c r="F165">
        <f>SUMIFS('Eventos de perdida'!G:G,'Eventos de perdida'!D:D,A165,'Eventos de perdida'!E:E,B165,'Eventos de perdida'!F:F,C165)</f>
        <v>0</v>
      </c>
      <c r="G165">
        <f t="shared" si="2"/>
        <v>300</v>
      </c>
      <c r="H165" s="26">
        <f>ROUNDDOWN(E165/_xlfn.XLOOKUP(C165,'[1]Part code'!A:A,'[1]Part code'!C:C),0)</f>
        <v>300</v>
      </c>
      <c r="I165">
        <f>ROUNDDOWN(G165/_xlfn.XLOOKUP(C165,'[1]Part code'!A:A,'[1]Part code'!C:C),0)</f>
        <v>300</v>
      </c>
      <c r="J165">
        <v>7</v>
      </c>
      <c r="K165" s="29">
        <f>I165*_xlfn.XLOOKUP(C165,'Part code'!A:A,'Part code'!C:C)/G165</f>
        <v>1</v>
      </c>
    </row>
    <row r="166" spans="1:11">
      <c r="A166" s="9">
        <v>45498</v>
      </c>
      <c r="B166" s="7" t="s">
        <v>47</v>
      </c>
      <c r="C166" s="7" t="s">
        <v>23</v>
      </c>
      <c r="D166" s="7" t="str">
        <f>_xlfn.XLOOKUP(C166,'Part code'!A:A,'Part code'!D:D)</f>
        <v>Process A</v>
      </c>
      <c r="E166" s="23">
        <v>480</v>
      </c>
      <c r="F166">
        <f>SUMIFS('Eventos de perdida'!G:G,'Eventos de perdida'!D:D,A166,'Eventos de perdida'!E:E,B166,'Eventos de perdida'!F:F,C166)</f>
        <v>0</v>
      </c>
      <c r="G166">
        <f t="shared" si="2"/>
        <v>480</v>
      </c>
      <c r="H166" s="26">
        <f>ROUNDDOWN(E166/_xlfn.XLOOKUP(C166,'[1]Part code'!A:A,'[1]Part code'!C:C),0)</f>
        <v>480</v>
      </c>
      <c r="I166">
        <f>ROUNDDOWN(G166/_xlfn.XLOOKUP(C166,'[1]Part code'!A:A,'[1]Part code'!C:C),0)</f>
        <v>480</v>
      </c>
      <c r="J166">
        <v>4</v>
      </c>
      <c r="K166" s="29">
        <f>I166*_xlfn.XLOOKUP(C166,'Part code'!A:A,'Part code'!C:C)/G166</f>
        <v>1</v>
      </c>
    </row>
    <row r="167" spans="1:11">
      <c r="A167" s="9">
        <v>45498</v>
      </c>
      <c r="B167" s="7" t="s">
        <v>47</v>
      </c>
      <c r="C167" s="7" t="s">
        <v>27</v>
      </c>
      <c r="D167" s="7" t="str">
        <f>_xlfn.XLOOKUP(C167,'Part code'!A:A,'Part code'!D:D)</f>
        <v>Process B</v>
      </c>
      <c r="E167" s="23">
        <v>180</v>
      </c>
      <c r="F167">
        <f>SUMIFS('Eventos de perdida'!G:G,'Eventos de perdida'!D:D,A167,'Eventos de perdida'!E:E,B167,'Eventos de perdida'!F:F,C167)</f>
        <v>9</v>
      </c>
      <c r="G167">
        <f t="shared" si="2"/>
        <v>171</v>
      </c>
      <c r="H167" s="26">
        <f>ROUNDDOWN(E167/_xlfn.XLOOKUP(C167,'[1]Part code'!A:A,'[1]Part code'!C:C),0)</f>
        <v>200</v>
      </c>
      <c r="I167">
        <f>ROUNDDOWN(G167/_xlfn.XLOOKUP(C167,'[1]Part code'!A:A,'[1]Part code'!C:C),0)</f>
        <v>190</v>
      </c>
      <c r="J167">
        <v>0</v>
      </c>
      <c r="K167" s="29">
        <f>I167*_xlfn.XLOOKUP(C167,'Part code'!A:A,'Part code'!C:C)/G167</f>
        <v>1</v>
      </c>
    </row>
    <row r="168" spans="1:11">
      <c r="A168" s="9">
        <v>45498</v>
      </c>
      <c r="B168" s="7" t="s">
        <v>47</v>
      </c>
      <c r="C168" s="7" t="s">
        <v>29</v>
      </c>
      <c r="D168" s="7" t="str">
        <f>_xlfn.XLOOKUP(C168,'Part code'!A:A,'Part code'!D:D)</f>
        <v>Process B</v>
      </c>
      <c r="E168" s="23">
        <v>300</v>
      </c>
      <c r="F168">
        <f>SUMIFS('Eventos de perdida'!G:G,'Eventos de perdida'!D:D,A168,'Eventos de perdida'!E:E,B168,'Eventos de perdida'!F:F,C168)</f>
        <v>6</v>
      </c>
      <c r="G168">
        <f t="shared" si="2"/>
        <v>294</v>
      </c>
      <c r="H168" s="26">
        <f>ROUNDDOWN(E168/_xlfn.XLOOKUP(C168,'[1]Part code'!A:A,'[1]Part code'!C:C),0)</f>
        <v>315</v>
      </c>
      <c r="I168">
        <f>ROUNDDOWN(G168/_xlfn.XLOOKUP(C168,'[1]Part code'!A:A,'[1]Part code'!C:C),0)</f>
        <v>309</v>
      </c>
      <c r="J168">
        <v>6</v>
      </c>
      <c r="K168" s="29">
        <f>I168*_xlfn.XLOOKUP(C168,'Part code'!A:A,'Part code'!C:C)/G168</f>
        <v>0.99846938775510208</v>
      </c>
    </row>
    <row r="169" spans="1:11">
      <c r="A169" s="9">
        <v>45498</v>
      </c>
      <c r="B169" s="7" t="s">
        <v>46</v>
      </c>
      <c r="C169" s="7" t="s">
        <v>27</v>
      </c>
      <c r="D169" s="7" t="str">
        <f>_xlfn.XLOOKUP(C169,'Part code'!A:A,'Part code'!D:D)</f>
        <v>Process B</v>
      </c>
      <c r="E169" s="23">
        <v>480</v>
      </c>
      <c r="F169">
        <f>SUMIFS('Eventos de perdida'!G:G,'Eventos de perdida'!D:D,A169,'Eventos de perdida'!E:E,B169,'Eventos de perdida'!F:F,C169)</f>
        <v>0</v>
      </c>
      <c r="G169">
        <f t="shared" si="2"/>
        <v>480</v>
      </c>
      <c r="H169" s="26">
        <f>ROUNDDOWN(E169/_xlfn.XLOOKUP(C169,'[1]Part code'!A:A,'[1]Part code'!C:C),0)</f>
        <v>533</v>
      </c>
      <c r="I169">
        <f>ROUNDDOWN(G169/_xlfn.XLOOKUP(C169,'[1]Part code'!A:A,'[1]Part code'!C:C),0)</f>
        <v>533</v>
      </c>
      <c r="J169">
        <v>6</v>
      </c>
      <c r="K169" s="29">
        <f>I169*_xlfn.XLOOKUP(C169,'Part code'!A:A,'Part code'!C:C)/G169</f>
        <v>0.99937500000000001</v>
      </c>
    </row>
    <row r="170" spans="1:11">
      <c r="A170" s="9">
        <v>45498</v>
      </c>
      <c r="B170" s="7" t="s">
        <v>46</v>
      </c>
      <c r="C170" s="7" t="s">
        <v>31</v>
      </c>
      <c r="D170" s="7" t="str">
        <f>_xlfn.XLOOKUP(C170,'Part code'!A:A,'Part code'!D:D)</f>
        <v>Process C</v>
      </c>
      <c r="E170" s="23">
        <v>180</v>
      </c>
      <c r="F170">
        <f>SUMIFS('Eventos de perdida'!G:G,'Eventos de perdida'!D:D,A170,'Eventos de perdida'!E:E,B170,'Eventos de perdida'!F:F,C170)</f>
        <v>76</v>
      </c>
      <c r="G170">
        <f t="shared" si="2"/>
        <v>104</v>
      </c>
      <c r="H170" s="26">
        <f>ROUNDDOWN(E170/_xlfn.XLOOKUP(C170,'[1]Part code'!A:A,'[1]Part code'!C:C),0)</f>
        <v>163</v>
      </c>
      <c r="I170">
        <f>ROUNDDOWN(G170/_xlfn.XLOOKUP(C170,'[1]Part code'!A:A,'[1]Part code'!C:C),0)</f>
        <v>94</v>
      </c>
      <c r="J170">
        <v>1</v>
      </c>
      <c r="K170" s="29">
        <f>I170*_xlfn.XLOOKUP(C170,'Part code'!A:A,'Part code'!C:C)/G170</f>
        <v>0.99423076923076925</v>
      </c>
    </row>
    <row r="171" spans="1:11">
      <c r="A171" s="9">
        <v>45498</v>
      </c>
      <c r="B171" s="7" t="s">
        <v>46</v>
      </c>
      <c r="C171" s="7" t="s">
        <v>33</v>
      </c>
      <c r="D171" s="7" t="str">
        <f>_xlfn.XLOOKUP(C171,'Part code'!A:A,'Part code'!D:D)</f>
        <v>Process C</v>
      </c>
      <c r="E171" s="23">
        <v>300</v>
      </c>
      <c r="F171">
        <f>SUMIFS('Eventos de perdida'!G:G,'Eventos de perdida'!D:D,A171,'Eventos de perdida'!E:E,B171,'Eventos de perdida'!F:F,C171)</f>
        <v>0</v>
      </c>
      <c r="G171">
        <f t="shared" si="2"/>
        <v>300</v>
      </c>
      <c r="H171" s="26">
        <f>ROUNDDOWN(E171/_xlfn.XLOOKUP(C171,'[1]Part code'!A:A,'[1]Part code'!C:C),0)</f>
        <v>250</v>
      </c>
      <c r="I171">
        <f>ROUNDDOWN(G171/_xlfn.XLOOKUP(C171,'[1]Part code'!A:A,'[1]Part code'!C:C),0)</f>
        <v>250</v>
      </c>
      <c r="J171">
        <v>5</v>
      </c>
      <c r="K171" s="29">
        <f>I171*_xlfn.XLOOKUP(C171,'Part code'!A:A,'Part code'!C:C)/G171</f>
        <v>1</v>
      </c>
    </row>
    <row r="172" spans="1:11">
      <c r="A172" s="9">
        <v>45498</v>
      </c>
      <c r="B172" s="7" t="s">
        <v>47</v>
      </c>
      <c r="C172" s="7" t="s">
        <v>31</v>
      </c>
      <c r="D172" s="7" t="str">
        <f>_xlfn.XLOOKUP(C172,'Part code'!A:A,'Part code'!D:D)</f>
        <v>Process C</v>
      </c>
      <c r="E172" s="23">
        <v>480</v>
      </c>
      <c r="F172">
        <f>SUMIFS('Eventos de perdida'!G:G,'Eventos de perdida'!D:D,A172,'Eventos de perdida'!E:E,B172,'Eventos de perdida'!F:F,C172)</f>
        <v>0</v>
      </c>
      <c r="G172">
        <f t="shared" si="2"/>
        <v>480</v>
      </c>
      <c r="H172" s="26">
        <f>ROUNDDOWN(E172/_xlfn.XLOOKUP(C172,'[1]Part code'!A:A,'[1]Part code'!C:C),0)</f>
        <v>436</v>
      </c>
      <c r="I172">
        <f>ROUNDDOWN(G172/_xlfn.XLOOKUP(C172,'[1]Part code'!A:A,'[1]Part code'!C:C),0)</f>
        <v>436</v>
      </c>
      <c r="J172">
        <v>1</v>
      </c>
      <c r="K172" s="29">
        <f>I172*_xlfn.XLOOKUP(C172,'Part code'!A:A,'Part code'!C:C)/G172</f>
        <v>0.99916666666666676</v>
      </c>
    </row>
    <row r="173" spans="1:11">
      <c r="A173" s="9">
        <v>45499</v>
      </c>
      <c r="B173" s="7" t="s">
        <v>46</v>
      </c>
      <c r="C173" s="7" t="s">
        <v>25</v>
      </c>
      <c r="D173" s="7" t="str">
        <f>_xlfn.XLOOKUP(C173,'Part code'!A:A,'Part code'!D:D)</f>
        <v>Process A</v>
      </c>
      <c r="E173" s="23">
        <v>180</v>
      </c>
      <c r="F173">
        <f>SUMIFS('Eventos de perdida'!G:G,'Eventos de perdida'!D:D,A173,'Eventos de perdida'!E:E,B173,'Eventos de perdida'!F:F,C173)</f>
        <v>8</v>
      </c>
      <c r="G173">
        <f t="shared" si="2"/>
        <v>172</v>
      </c>
      <c r="H173" s="26">
        <f>ROUNDDOWN(E173/_xlfn.XLOOKUP(C173,'[1]Part code'!A:A,'[1]Part code'!C:C),0)</f>
        <v>180</v>
      </c>
      <c r="I173">
        <f>ROUNDDOWN(G173/_xlfn.XLOOKUP(C173,'[1]Part code'!A:A,'[1]Part code'!C:C),0)</f>
        <v>172</v>
      </c>
      <c r="J173">
        <v>7</v>
      </c>
      <c r="K173" s="29">
        <f>I173*_xlfn.XLOOKUP(C173,'Part code'!A:A,'Part code'!C:C)/G173</f>
        <v>1</v>
      </c>
    </row>
    <row r="174" spans="1:11">
      <c r="A174" s="9">
        <v>45499</v>
      </c>
      <c r="B174" s="7" t="s">
        <v>46</v>
      </c>
      <c r="C174" s="7" t="s">
        <v>23</v>
      </c>
      <c r="D174" s="7" t="str">
        <f>_xlfn.XLOOKUP(C174,'Part code'!A:A,'Part code'!D:D)</f>
        <v>Process A</v>
      </c>
      <c r="E174" s="23">
        <v>300</v>
      </c>
      <c r="F174">
        <f>SUMIFS('Eventos de perdida'!G:G,'Eventos de perdida'!D:D,A174,'Eventos de perdida'!E:E,B174,'Eventos de perdida'!F:F,C174)</f>
        <v>11</v>
      </c>
      <c r="G174">
        <f t="shared" si="2"/>
        <v>289</v>
      </c>
      <c r="H174" s="26">
        <f>ROUNDDOWN(E174/_xlfn.XLOOKUP(C174,'[1]Part code'!A:A,'[1]Part code'!C:C),0)</f>
        <v>300</v>
      </c>
      <c r="I174">
        <f>ROUNDDOWN(G174/_xlfn.XLOOKUP(C174,'[1]Part code'!A:A,'[1]Part code'!C:C),0)</f>
        <v>289</v>
      </c>
      <c r="J174">
        <v>0</v>
      </c>
      <c r="K174" s="29">
        <f>I174*_xlfn.XLOOKUP(C174,'Part code'!A:A,'Part code'!C:C)/G174</f>
        <v>1</v>
      </c>
    </row>
    <row r="175" spans="1:11">
      <c r="A175" s="9">
        <v>45499</v>
      </c>
      <c r="B175" s="7" t="s">
        <v>47</v>
      </c>
      <c r="C175" s="7" t="s">
        <v>23</v>
      </c>
      <c r="D175" s="7" t="str">
        <f>_xlfn.XLOOKUP(C175,'Part code'!A:A,'Part code'!D:D)</f>
        <v>Process A</v>
      </c>
      <c r="E175" s="23">
        <v>480</v>
      </c>
      <c r="F175">
        <f>SUMIFS('Eventos de perdida'!G:G,'Eventos de perdida'!D:D,A175,'Eventos de perdida'!E:E,B175,'Eventos de perdida'!F:F,C175)</f>
        <v>0</v>
      </c>
      <c r="G175">
        <f t="shared" si="2"/>
        <v>480</v>
      </c>
      <c r="H175" s="26">
        <f>ROUNDDOWN(E175/_xlfn.XLOOKUP(C175,'[1]Part code'!A:A,'[1]Part code'!C:C),0)</f>
        <v>480</v>
      </c>
      <c r="I175">
        <f>ROUNDDOWN(G175/_xlfn.XLOOKUP(C175,'[1]Part code'!A:A,'[1]Part code'!C:C),0)</f>
        <v>480</v>
      </c>
      <c r="J175">
        <v>2</v>
      </c>
      <c r="K175" s="29">
        <f>I175*_xlfn.XLOOKUP(C175,'Part code'!A:A,'Part code'!C:C)/G175</f>
        <v>1</v>
      </c>
    </row>
    <row r="176" spans="1:11">
      <c r="A176" s="9">
        <v>45499</v>
      </c>
      <c r="B176" s="7" t="s">
        <v>47</v>
      </c>
      <c r="C176" s="7" t="s">
        <v>27</v>
      </c>
      <c r="D176" s="7" t="str">
        <f>_xlfn.XLOOKUP(C176,'Part code'!A:A,'Part code'!D:D)</f>
        <v>Process B</v>
      </c>
      <c r="E176" s="23">
        <v>180</v>
      </c>
      <c r="F176">
        <f>SUMIFS('Eventos de perdida'!G:G,'Eventos de perdida'!D:D,A176,'Eventos de perdida'!E:E,B176,'Eventos de perdida'!F:F,C176)</f>
        <v>0</v>
      </c>
      <c r="G176">
        <f t="shared" si="2"/>
        <v>180</v>
      </c>
      <c r="H176" s="26">
        <f>ROUNDDOWN(E176/_xlfn.XLOOKUP(C176,'[1]Part code'!A:A,'[1]Part code'!C:C),0)</f>
        <v>200</v>
      </c>
      <c r="I176">
        <f>ROUNDDOWN(G176/_xlfn.XLOOKUP(C176,'[1]Part code'!A:A,'[1]Part code'!C:C),0)</f>
        <v>200</v>
      </c>
      <c r="J176">
        <v>7</v>
      </c>
      <c r="K176" s="29">
        <f>I176*_xlfn.XLOOKUP(C176,'Part code'!A:A,'Part code'!C:C)/G176</f>
        <v>1</v>
      </c>
    </row>
    <row r="177" spans="1:11">
      <c r="A177" s="9">
        <v>45499</v>
      </c>
      <c r="B177" s="7" t="s">
        <v>47</v>
      </c>
      <c r="C177" s="7" t="s">
        <v>29</v>
      </c>
      <c r="D177" s="7" t="str">
        <f>_xlfn.XLOOKUP(C177,'Part code'!A:A,'Part code'!D:D)</f>
        <v>Process B</v>
      </c>
      <c r="E177" s="23">
        <v>300</v>
      </c>
      <c r="F177">
        <f>SUMIFS('Eventos de perdida'!G:G,'Eventos de perdida'!D:D,A177,'Eventos de perdida'!E:E,B177,'Eventos de perdida'!F:F,C177)</f>
        <v>0</v>
      </c>
      <c r="G177">
        <f t="shared" si="2"/>
        <v>300</v>
      </c>
      <c r="H177" s="26">
        <f>ROUNDDOWN(E177/_xlfn.XLOOKUP(C177,'[1]Part code'!A:A,'[1]Part code'!C:C),0)</f>
        <v>315</v>
      </c>
      <c r="I177">
        <f>ROUNDDOWN(G177/_xlfn.XLOOKUP(C177,'[1]Part code'!A:A,'[1]Part code'!C:C),0)</f>
        <v>315</v>
      </c>
      <c r="J177">
        <v>6</v>
      </c>
      <c r="K177" s="29">
        <f>I177*_xlfn.XLOOKUP(C177,'Part code'!A:A,'Part code'!C:C)/G177</f>
        <v>0.99750000000000005</v>
      </c>
    </row>
    <row r="178" spans="1:11">
      <c r="A178" s="9">
        <v>45499</v>
      </c>
      <c r="B178" s="7" t="s">
        <v>46</v>
      </c>
      <c r="C178" s="7" t="s">
        <v>27</v>
      </c>
      <c r="D178" s="7" t="str">
        <f>_xlfn.XLOOKUP(C178,'Part code'!A:A,'Part code'!D:D)</f>
        <v>Process B</v>
      </c>
      <c r="E178" s="23">
        <v>480</v>
      </c>
      <c r="F178">
        <f>SUMIFS('Eventos de perdida'!G:G,'Eventos de perdida'!D:D,A178,'Eventos de perdida'!E:E,B178,'Eventos de perdida'!F:F,C178)</f>
        <v>0</v>
      </c>
      <c r="G178">
        <f t="shared" si="2"/>
        <v>480</v>
      </c>
      <c r="H178" s="26">
        <f>ROUNDDOWN(E178/_xlfn.XLOOKUP(C178,'[1]Part code'!A:A,'[1]Part code'!C:C),0)</f>
        <v>533</v>
      </c>
      <c r="I178">
        <f>ROUNDDOWN(G178/_xlfn.XLOOKUP(C178,'[1]Part code'!A:A,'[1]Part code'!C:C),0)</f>
        <v>533</v>
      </c>
      <c r="J178">
        <v>2</v>
      </c>
      <c r="K178" s="29">
        <f>I178*_xlfn.XLOOKUP(C178,'Part code'!A:A,'Part code'!C:C)/G178</f>
        <v>0.99937500000000001</v>
      </c>
    </row>
    <row r="179" spans="1:11">
      <c r="A179" s="9">
        <v>45499</v>
      </c>
      <c r="B179" s="7" t="s">
        <v>47</v>
      </c>
      <c r="C179" s="7" t="s">
        <v>31</v>
      </c>
      <c r="D179" s="7" t="str">
        <f>_xlfn.XLOOKUP(C179,'Part code'!A:A,'Part code'!D:D)</f>
        <v>Process C</v>
      </c>
      <c r="E179" s="23">
        <v>180</v>
      </c>
      <c r="F179">
        <f>SUMIFS('Eventos de perdida'!G:G,'Eventos de perdida'!D:D,A179,'Eventos de perdida'!E:E,B179,'Eventos de perdida'!F:F,C179)</f>
        <v>0</v>
      </c>
      <c r="G179">
        <f t="shared" si="2"/>
        <v>180</v>
      </c>
      <c r="H179" s="26">
        <f>ROUNDDOWN(E179/_xlfn.XLOOKUP(C179,'[1]Part code'!A:A,'[1]Part code'!C:C),0)</f>
        <v>163</v>
      </c>
      <c r="I179">
        <f>ROUNDDOWN(G179/_xlfn.XLOOKUP(C179,'[1]Part code'!A:A,'[1]Part code'!C:C),0)</f>
        <v>163</v>
      </c>
      <c r="J179">
        <v>2</v>
      </c>
      <c r="K179" s="29">
        <f>I179*_xlfn.XLOOKUP(C179,'Part code'!A:A,'Part code'!C:C)/G179</f>
        <v>0.99611111111111117</v>
      </c>
    </row>
    <row r="180" spans="1:11">
      <c r="A180" s="9">
        <v>45499</v>
      </c>
      <c r="B180" s="7" t="s">
        <v>47</v>
      </c>
      <c r="C180" s="7" t="s">
        <v>33</v>
      </c>
      <c r="D180" s="7" t="str">
        <f>_xlfn.XLOOKUP(C180,'Part code'!A:A,'Part code'!D:D)</f>
        <v>Process C</v>
      </c>
      <c r="E180" s="23">
        <v>300</v>
      </c>
      <c r="F180">
        <f>SUMIFS('Eventos de perdida'!G:G,'Eventos de perdida'!D:D,A180,'Eventos de perdida'!E:E,B180,'Eventos de perdida'!F:F,C180)</f>
        <v>5</v>
      </c>
      <c r="G180">
        <f t="shared" si="2"/>
        <v>295</v>
      </c>
      <c r="H180" s="26">
        <f>ROUNDDOWN(E180/_xlfn.XLOOKUP(C180,'[1]Part code'!A:A,'[1]Part code'!C:C),0)</f>
        <v>250</v>
      </c>
      <c r="I180">
        <f>ROUNDDOWN(G180/_xlfn.XLOOKUP(C180,'[1]Part code'!A:A,'[1]Part code'!C:C),0)</f>
        <v>245</v>
      </c>
      <c r="J180">
        <v>0</v>
      </c>
      <c r="K180" s="29">
        <f>I180*_xlfn.XLOOKUP(C180,'Part code'!A:A,'Part code'!C:C)/G180</f>
        <v>0.99661016949152548</v>
      </c>
    </row>
    <row r="181" spans="1:11">
      <c r="A181" s="9">
        <v>45499</v>
      </c>
      <c r="B181" s="7" t="s">
        <v>46</v>
      </c>
      <c r="C181" s="7" t="s">
        <v>31</v>
      </c>
      <c r="D181" s="7" t="str">
        <f>_xlfn.XLOOKUP(C181,'Part code'!A:A,'Part code'!D:D)</f>
        <v>Process C</v>
      </c>
      <c r="E181" s="23">
        <v>480</v>
      </c>
      <c r="F181">
        <f>SUMIFS('Eventos de perdida'!G:G,'Eventos de perdida'!D:D,A181,'Eventos de perdida'!E:E,B181,'Eventos de perdida'!F:F,C181)</f>
        <v>0</v>
      </c>
      <c r="G181">
        <f t="shared" si="2"/>
        <v>480</v>
      </c>
      <c r="H181" s="26">
        <f>ROUNDDOWN(E181/_xlfn.XLOOKUP(C181,'[1]Part code'!A:A,'[1]Part code'!C:C),0)</f>
        <v>436</v>
      </c>
      <c r="I181">
        <f>ROUNDDOWN(G181/_xlfn.XLOOKUP(C181,'[1]Part code'!A:A,'[1]Part code'!C:C),0)</f>
        <v>436</v>
      </c>
      <c r="J181">
        <v>2</v>
      </c>
      <c r="K181" s="29">
        <f>I181*_xlfn.XLOOKUP(C181,'Part code'!A:A,'Part code'!C:C)/G181</f>
        <v>0.99916666666666676</v>
      </c>
    </row>
    <row r="182" spans="1:11">
      <c r="A182" s="9">
        <v>45502</v>
      </c>
      <c r="B182" s="7" t="s">
        <v>46</v>
      </c>
      <c r="C182" s="7" t="s">
        <v>25</v>
      </c>
      <c r="D182" s="7" t="str">
        <f>_xlfn.XLOOKUP(C182,'Part code'!A:A,'Part code'!D:D)</f>
        <v>Process A</v>
      </c>
      <c r="E182" s="23">
        <v>480</v>
      </c>
      <c r="F182">
        <f>SUMIFS('Eventos de perdida'!G:G,'Eventos de perdida'!D:D,A182,'Eventos de perdida'!E:E,B182,'Eventos de perdida'!F:F,C182)</f>
        <v>0</v>
      </c>
      <c r="G182">
        <f t="shared" si="2"/>
        <v>480</v>
      </c>
      <c r="H182" s="26">
        <f>ROUNDDOWN(E182/_xlfn.XLOOKUP(C182,'[1]Part code'!A:A,'[1]Part code'!C:C),0)</f>
        <v>480</v>
      </c>
      <c r="I182">
        <f>ROUNDDOWN(G182/_xlfn.XLOOKUP(C182,'[1]Part code'!A:A,'[1]Part code'!C:C),0)</f>
        <v>480</v>
      </c>
      <c r="J182">
        <v>1</v>
      </c>
      <c r="K182" s="29">
        <f>I182*_xlfn.XLOOKUP(C182,'Part code'!A:A,'Part code'!C:C)/G182</f>
        <v>1</v>
      </c>
    </row>
    <row r="183" spans="1:11">
      <c r="A183" s="9">
        <v>45502</v>
      </c>
      <c r="B183" s="7" t="s">
        <v>47</v>
      </c>
      <c r="C183" s="7" t="s">
        <v>23</v>
      </c>
      <c r="D183" s="7" t="str">
        <f>_xlfn.XLOOKUP(C183,'Part code'!A:A,'Part code'!D:D)</f>
        <v>Process A</v>
      </c>
      <c r="E183">
        <v>300</v>
      </c>
      <c r="F183">
        <f>SUMIFS('Eventos de perdida'!G:G,'Eventos de perdida'!D:D,A183,'Eventos de perdida'!E:E,B183,'Eventos de perdida'!F:F,C183)</f>
        <v>0</v>
      </c>
      <c r="G183">
        <f t="shared" si="2"/>
        <v>300</v>
      </c>
      <c r="H183" s="26">
        <f>ROUNDDOWN(E183/_xlfn.XLOOKUP(C183,'[1]Part code'!A:A,'[1]Part code'!C:C),0)</f>
        <v>300</v>
      </c>
      <c r="I183">
        <f>ROUNDDOWN(G183/_xlfn.XLOOKUP(C183,'[1]Part code'!A:A,'[1]Part code'!C:C),0)</f>
        <v>300</v>
      </c>
      <c r="J183">
        <v>2</v>
      </c>
      <c r="K183" s="29">
        <f>I183*_xlfn.XLOOKUP(C183,'Part code'!A:A,'Part code'!C:C)/G183</f>
        <v>1</v>
      </c>
    </row>
    <row r="184" spans="1:11">
      <c r="A184" s="9">
        <v>45502</v>
      </c>
      <c r="B184" s="7" t="s">
        <v>47</v>
      </c>
      <c r="C184" s="7" t="s">
        <v>25</v>
      </c>
      <c r="D184" s="7" t="str">
        <f>_xlfn.XLOOKUP(C184,'Part code'!A:A,'Part code'!D:D)</f>
        <v>Process A</v>
      </c>
      <c r="E184">
        <v>180</v>
      </c>
      <c r="F184">
        <f>SUMIFS('Eventos de perdida'!G:G,'Eventos de perdida'!D:D,A184,'Eventos de perdida'!E:E,B184,'Eventos de perdida'!F:F,C184)</f>
        <v>0</v>
      </c>
      <c r="G184">
        <f t="shared" si="2"/>
        <v>180</v>
      </c>
      <c r="H184" s="26">
        <f>ROUNDDOWN(E184/_xlfn.XLOOKUP(C184,'[1]Part code'!A:A,'[1]Part code'!C:C),0)</f>
        <v>180</v>
      </c>
      <c r="I184">
        <f>ROUNDDOWN(G184/_xlfn.XLOOKUP(C184,'[1]Part code'!A:A,'[1]Part code'!C:C),0)</f>
        <v>180</v>
      </c>
      <c r="J184">
        <v>1</v>
      </c>
      <c r="K184" s="29">
        <f>I184*_xlfn.XLOOKUP(C184,'Part code'!A:A,'Part code'!C:C)/G184</f>
        <v>1</v>
      </c>
    </row>
    <row r="185" spans="1:11">
      <c r="A185" s="9">
        <v>45502</v>
      </c>
      <c r="B185" s="7" t="s">
        <v>46</v>
      </c>
      <c r="C185" s="7" t="s">
        <v>29</v>
      </c>
      <c r="D185" s="7" t="str">
        <f>_xlfn.XLOOKUP(C185,'Part code'!A:A,'Part code'!D:D)</f>
        <v>Process B</v>
      </c>
      <c r="E185" s="23">
        <v>480</v>
      </c>
      <c r="F185">
        <f>SUMIFS('Eventos de perdida'!G:G,'Eventos de perdida'!D:D,A185,'Eventos de perdida'!E:E,B185,'Eventos de perdida'!F:F,C185)</f>
        <v>0</v>
      </c>
      <c r="G185">
        <f t="shared" si="2"/>
        <v>480</v>
      </c>
      <c r="H185" s="26">
        <f>ROUNDDOWN(E185/_xlfn.XLOOKUP(C185,'[1]Part code'!A:A,'[1]Part code'!C:C),0)</f>
        <v>505</v>
      </c>
      <c r="I185">
        <f>ROUNDDOWN(G185/_xlfn.XLOOKUP(C185,'[1]Part code'!A:A,'[1]Part code'!C:C),0)</f>
        <v>505</v>
      </c>
      <c r="J185">
        <v>1</v>
      </c>
      <c r="K185" s="29">
        <f>I185*_xlfn.XLOOKUP(C185,'Part code'!A:A,'Part code'!C:C)/G185</f>
        <v>0.9994791666666667</v>
      </c>
    </row>
    <row r="186" spans="1:11">
      <c r="A186" s="9">
        <v>45502</v>
      </c>
      <c r="B186" s="7" t="s">
        <v>47</v>
      </c>
      <c r="C186" s="7" t="s">
        <v>27</v>
      </c>
      <c r="D186" s="7" t="str">
        <f>_xlfn.XLOOKUP(C186,'Part code'!A:A,'Part code'!D:D)</f>
        <v>Process B</v>
      </c>
      <c r="E186">
        <v>300</v>
      </c>
      <c r="F186">
        <f>SUMIFS('Eventos de perdida'!G:G,'Eventos de perdida'!D:D,A186,'Eventos de perdida'!E:E,B186,'Eventos de perdida'!F:F,C186)</f>
        <v>0</v>
      </c>
      <c r="G186">
        <f t="shared" si="2"/>
        <v>300</v>
      </c>
      <c r="H186" s="26">
        <f>ROUNDDOWN(E186/_xlfn.XLOOKUP(C186,'[1]Part code'!A:A,'[1]Part code'!C:C),0)</f>
        <v>333</v>
      </c>
      <c r="I186">
        <f>ROUNDDOWN(G186/_xlfn.XLOOKUP(C186,'[1]Part code'!A:A,'[1]Part code'!C:C),0)</f>
        <v>333</v>
      </c>
      <c r="J186">
        <v>4</v>
      </c>
      <c r="K186" s="29">
        <f>I186*_xlfn.XLOOKUP(C186,'Part code'!A:A,'Part code'!C:C)/G186</f>
        <v>0.999</v>
      </c>
    </row>
    <row r="187" spans="1:11">
      <c r="A187" s="9">
        <v>45502</v>
      </c>
      <c r="B187" s="7" t="s">
        <v>47</v>
      </c>
      <c r="C187" s="7" t="s">
        <v>29</v>
      </c>
      <c r="D187" s="7" t="str">
        <f>_xlfn.XLOOKUP(C187,'Part code'!A:A,'Part code'!D:D)</f>
        <v>Process B</v>
      </c>
      <c r="E187">
        <v>180</v>
      </c>
      <c r="F187">
        <f>SUMIFS('Eventos de perdida'!G:G,'Eventos de perdida'!D:D,A187,'Eventos de perdida'!E:E,B187,'Eventos de perdida'!F:F,C187)</f>
        <v>0</v>
      </c>
      <c r="G187">
        <f t="shared" si="2"/>
        <v>180</v>
      </c>
      <c r="H187" s="26">
        <f>ROUNDDOWN(E187/_xlfn.XLOOKUP(C187,'[1]Part code'!A:A,'[1]Part code'!C:C),0)</f>
        <v>189</v>
      </c>
      <c r="I187">
        <f>ROUNDDOWN(G187/_xlfn.XLOOKUP(C187,'[1]Part code'!A:A,'[1]Part code'!C:C),0)</f>
        <v>189</v>
      </c>
      <c r="J187">
        <v>0</v>
      </c>
      <c r="K187" s="29">
        <f>I187*_xlfn.XLOOKUP(C187,'Part code'!A:A,'Part code'!C:C)/G187</f>
        <v>0.99749999999999994</v>
      </c>
    </row>
    <row r="188" spans="1:11">
      <c r="A188" s="9">
        <v>45502</v>
      </c>
      <c r="B188" s="7" t="s">
        <v>46</v>
      </c>
      <c r="C188" s="7" t="s">
        <v>33</v>
      </c>
      <c r="D188" s="7" t="str">
        <f>_xlfn.XLOOKUP(C188,'Part code'!A:A,'Part code'!D:D)</f>
        <v>Process C</v>
      </c>
      <c r="E188" s="23">
        <v>480</v>
      </c>
      <c r="F188">
        <f>SUMIFS('Eventos de perdida'!G:G,'Eventos de perdida'!D:D,A188,'Eventos de perdida'!E:E,B188,'Eventos de perdida'!F:F,C188)</f>
        <v>0</v>
      </c>
      <c r="G188">
        <f t="shared" si="2"/>
        <v>480</v>
      </c>
      <c r="H188" s="26">
        <f>ROUNDDOWN(E188/_xlfn.XLOOKUP(C188,'[1]Part code'!A:A,'[1]Part code'!C:C),0)</f>
        <v>400</v>
      </c>
      <c r="I188">
        <f>ROUNDDOWN(G188/_xlfn.XLOOKUP(C188,'[1]Part code'!A:A,'[1]Part code'!C:C),0)</f>
        <v>400</v>
      </c>
      <c r="J188">
        <v>1</v>
      </c>
      <c r="K188" s="29">
        <f>I188*_xlfn.XLOOKUP(C188,'Part code'!A:A,'Part code'!C:C)/G188</f>
        <v>1</v>
      </c>
    </row>
    <row r="189" spans="1:11">
      <c r="A189" s="9">
        <v>45502</v>
      </c>
      <c r="B189" s="7" t="s">
        <v>47</v>
      </c>
      <c r="C189" s="7" t="s">
        <v>31</v>
      </c>
      <c r="D189" s="7" t="str">
        <f>_xlfn.XLOOKUP(C189,'Part code'!A:A,'Part code'!D:D)</f>
        <v>Process C</v>
      </c>
      <c r="E189">
        <v>300</v>
      </c>
      <c r="F189">
        <f>SUMIFS('Eventos de perdida'!G:G,'Eventos de perdida'!D:D,A189,'Eventos de perdida'!E:E,B189,'Eventos de perdida'!F:F,C189)</f>
        <v>0</v>
      </c>
      <c r="G189">
        <f t="shared" si="2"/>
        <v>300</v>
      </c>
      <c r="H189" s="26">
        <f>ROUNDDOWN(E189/_xlfn.XLOOKUP(C189,'[1]Part code'!A:A,'[1]Part code'!C:C),0)</f>
        <v>272</v>
      </c>
      <c r="I189">
        <f>ROUNDDOWN(G189/_xlfn.XLOOKUP(C189,'[1]Part code'!A:A,'[1]Part code'!C:C),0)</f>
        <v>272</v>
      </c>
      <c r="J189">
        <v>3</v>
      </c>
      <c r="K189" s="29">
        <f>I189*_xlfn.XLOOKUP(C189,'Part code'!A:A,'Part code'!C:C)/G189</f>
        <v>0.99733333333333352</v>
      </c>
    </row>
    <row r="190" spans="1:11">
      <c r="A190" s="9">
        <v>45502</v>
      </c>
      <c r="B190" s="7" t="s">
        <v>47</v>
      </c>
      <c r="C190" s="7" t="s">
        <v>33</v>
      </c>
      <c r="D190" s="7" t="str">
        <f>_xlfn.XLOOKUP(C190,'Part code'!A:A,'Part code'!D:D)</f>
        <v>Process C</v>
      </c>
      <c r="E190">
        <v>180</v>
      </c>
      <c r="F190">
        <f>SUMIFS('Eventos de perdida'!G:G,'Eventos de perdida'!D:D,A190,'Eventos de perdida'!E:E,B190,'Eventos de perdida'!F:F,C190)</f>
        <v>0</v>
      </c>
      <c r="G190">
        <f t="shared" si="2"/>
        <v>180</v>
      </c>
      <c r="H190" s="26">
        <f>ROUNDDOWN(E190/_xlfn.XLOOKUP(C190,'[1]Part code'!A:A,'[1]Part code'!C:C),0)</f>
        <v>150</v>
      </c>
      <c r="I190">
        <f>ROUNDDOWN(G190/_xlfn.XLOOKUP(C190,'[1]Part code'!A:A,'[1]Part code'!C:C),0)</f>
        <v>150</v>
      </c>
      <c r="J190">
        <v>7</v>
      </c>
      <c r="K190" s="29">
        <f>I190*_xlfn.XLOOKUP(C190,'Part code'!A:A,'Part code'!C:C)/G190</f>
        <v>1</v>
      </c>
    </row>
    <row r="191" spans="1:11">
      <c r="A191" s="9">
        <v>45503</v>
      </c>
      <c r="B191" s="7" t="s">
        <v>46</v>
      </c>
      <c r="C191" s="7" t="s">
        <v>25</v>
      </c>
      <c r="D191" s="7" t="str">
        <f>_xlfn.XLOOKUP(C191,'Part code'!A:A,'Part code'!D:D)</f>
        <v>Process A</v>
      </c>
      <c r="E191" s="23">
        <v>240</v>
      </c>
      <c r="F191">
        <f>SUMIFS('Eventos de perdida'!G:G,'Eventos de perdida'!D:D,A191,'Eventos de perdida'!E:E,B191,'Eventos de perdida'!F:F,C191)</f>
        <v>30</v>
      </c>
      <c r="G191">
        <f t="shared" si="2"/>
        <v>210</v>
      </c>
      <c r="H191" s="26">
        <f>ROUNDDOWN(E191/_xlfn.XLOOKUP(C191,'[1]Part code'!A:A,'[1]Part code'!C:C),0)</f>
        <v>240</v>
      </c>
      <c r="I191">
        <f>ROUNDDOWN(G191/_xlfn.XLOOKUP(C191,'[1]Part code'!A:A,'[1]Part code'!C:C),0)</f>
        <v>210</v>
      </c>
      <c r="J191">
        <v>1</v>
      </c>
      <c r="K191" s="29">
        <f>I191*_xlfn.XLOOKUP(C191,'Part code'!A:A,'Part code'!C:C)/G191</f>
        <v>1</v>
      </c>
    </row>
    <row r="192" spans="1:11">
      <c r="A192" s="9">
        <v>45503</v>
      </c>
      <c r="B192" s="7" t="s">
        <v>46</v>
      </c>
      <c r="C192" s="7" t="s">
        <v>23</v>
      </c>
      <c r="D192" s="7" t="str">
        <f>_xlfn.XLOOKUP(C192,'Part code'!A:A,'Part code'!D:D)</f>
        <v>Process A</v>
      </c>
      <c r="E192" s="23">
        <v>240</v>
      </c>
      <c r="F192">
        <f>SUMIFS('Eventos de perdida'!G:G,'Eventos de perdida'!D:D,A192,'Eventos de perdida'!E:E,B192,'Eventos de perdida'!F:F,C192)</f>
        <v>0</v>
      </c>
      <c r="G192">
        <f t="shared" si="2"/>
        <v>240</v>
      </c>
      <c r="H192" s="26">
        <f>ROUNDDOWN(E192/_xlfn.XLOOKUP(C192,'[1]Part code'!A:A,'[1]Part code'!C:C),0)</f>
        <v>240</v>
      </c>
      <c r="I192">
        <f>ROUNDDOWN(G192/_xlfn.XLOOKUP(C192,'[1]Part code'!A:A,'[1]Part code'!C:C),0)</f>
        <v>240</v>
      </c>
      <c r="J192">
        <v>5</v>
      </c>
      <c r="K192" s="29">
        <f>I192*_xlfn.XLOOKUP(C192,'Part code'!A:A,'Part code'!C:C)/G192</f>
        <v>1</v>
      </c>
    </row>
    <row r="193" spans="1:11">
      <c r="A193" s="9">
        <v>45503</v>
      </c>
      <c r="B193" s="7" t="s">
        <v>47</v>
      </c>
      <c r="C193" s="7" t="s">
        <v>23</v>
      </c>
      <c r="D193" s="7" t="str">
        <f>_xlfn.XLOOKUP(C193,'Part code'!A:A,'Part code'!D:D)</f>
        <v>Process A</v>
      </c>
      <c r="E193" s="23">
        <v>480</v>
      </c>
      <c r="F193">
        <f>SUMIFS('Eventos de perdida'!G:G,'Eventos de perdida'!D:D,A193,'Eventos de perdida'!E:E,B193,'Eventos de perdida'!F:F,C193)</f>
        <v>0</v>
      </c>
      <c r="G193">
        <f t="shared" si="2"/>
        <v>480</v>
      </c>
      <c r="H193" s="26">
        <f>ROUNDDOWN(E193/_xlfn.XLOOKUP(C193,'[1]Part code'!A:A,'[1]Part code'!C:C),0)</f>
        <v>480</v>
      </c>
      <c r="I193">
        <f>ROUNDDOWN(G193/_xlfn.XLOOKUP(C193,'[1]Part code'!A:A,'[1]Part code'!C:C),0)</f>
        <v>480</v>
      </c>
      <c r="J193">
        <v>1</v>
      </c>
      <c r="K193" s="29">
        <f>I193*_xlfn.XLOOKUP(C193,'Part code'!A:A,'Part code'!C:C)/G193</f>
        <v>1</v>
      </c>
    </row>
    <row r="194" spans="1:11">
      <c r="A194" s="9">
        <v>45503</v>
      </c>
      <c r="B194" s="7" t="s">
        <v>46</v>
      </c>
      <c r="C194" s="7" t="s">
        <v>27</v>
      </c>
      <c r="D194" s="7" t="str">
        <f>_xlfn.XLOOKUP(C194,'Part code'!A:A,'Part code'!D:D)</f>
        <v>Process B</v>
      </c>
      <c r="E194" s="23">
        <v>240</v>
      </c>
      <c r="F194">
        <f>SUMIFS('Eventos de perdida'!G:G,'Eventos de perdida'!D:D,A194,'Eventos de perdida'!E:E,B194,'Eventos de perdida'!F:F,C194)</f>
        <v>0</v>
      </c>
      <c r="G194">
        <f t="shared" si="2"/>
        <v>240</v>
      </c>
      <c r="H194" s="26">
        <f>ROUNDDOWN(E194/_xlfn.XLOOKUP(C194,'[1]Part code'!A:A,'[1]Part code'!C:C),0)</f>
        <v>266</v>
      </c>
      <c r="I194">
        <f>ROUNDDOWN(G194/_xlfn.XLOOKUP(C194,'[1]Part code'!A:A,'[1]Part code'!C:C),0)</f>
        <v>266</v>
      </c>
      <c r="J194">
        <v>2</v>
      </c>
      <c r="K194" s="29">
        <f>I194*_xlfn.XLOOKUP(C194,'Part code'!A:A,'Part code'!C:C)/G194</f>
        <v>0.99750000000000005</v>
      </c>
    </row>
    <row r="195" spans="1:11">
      <c r="A195" s="9">
        <v>45503</v>
      </c>
      <c r="B195" s="7" t="s">
        <v>46</v>
      </c>
      <c r="C195" s="7" t="s">
        <v>29</v>
      </c>
      <c r="D195" s="7" t="str">
        <f>_xlfn.XLOOKUP(C195,'Part code'!A:A,'Part code'!D:D)</f>
        <v>Process B</v>
      </c>
      <c r="E195" s="23">
        <v>240</v>
      </c>
      <c r="F195">
        <f>SUMIFS('Eventos de perdida'!G:G,'Eventos de perdida'!D:D,A195,'Eventos de perdida'!E:E,B195,'Eventos de perdida'!F:F,C195)</f>
        <v>9</v>
      </c>
      <c r="G195">
        <f t="shared" ref="G195:G208" si="3">E195-F195</f>
        <v>231</v>
      </c>
      <c r="H195" s="26">
        <f>ROUNDDOWN(E195/_xlfn.XLOOKUP(C195,'[1]Part code'!A:A,'[1]Part code'!C:C),0)</f>
        <v>252</v>
      </c>
      <c r="I195">
        <f>ROUNDDOWN(G195/_xlfn.XLOOKUP(C195,'[1]Part code'!A:A,'[1]Part code'!C:C),0)</f>
        <v>243</v>
      </c>
      <c r="J195">
        <v>5</v>
      </c>
      <c r="K195" s="29">
        <f>I195*_xlfn.XLOOKUP(C195,'Part code'!A:A,'Part code'!C:C)/G195</f>
        <v>0.99935064935064932</v>
      </c>
    </row>
    <row r="196" spans="1:11">
      <c r="A196" s="9">
        <v>45503</v>
      </c>
      <c r="B196" s="7" t="s">
        <v>47</v>
      </c>
      <c r="C196" s="7" t="s">
        <v>27</v>
      </c>
      <c r="D196" s="7" t="str">
        <f>_xlfn.XLOOKUP(C196,'Part code'!A:A,'Part code'!D:D)</f>
        <v>Process B</v>
      </c>
      <c r="E196" s="23">
        <v>480</v>
      </c>
      <c r="F196">
        <f>SUMIFS('Eventos de perdida'!G:G,'Eventos de perdida'!D:D,A196,'Eventos de perdida'!E:E,B196,'Eventos de perdida'!F:F,C196)</f>
        <v>57</v>
      </c>
      <c r="G196">
        <f t="shared" si="3"/>
        <v>423</v>
      </c>
      <c r="H196" s="26">
        <f>ROUNDDOWN(E196/_xlfn.XLOOKUP(C196,'[1]Part code'!A:A,'[1]Part code'!C:C),0)</f>
        <v>533</v>
      </c>
      <c r="I196">
        <f>ROUNDDOWN(G196/_xlfn.XLOOKUP(C196,'[1]Part code'!A:A,'[1]Part code'!C:C),0)</f>
        <v>470</v>
      </c>
      <c r="J196">
        <v>6</v>
      </c>
      <c r="K196" s="29">
        <f>I196*_xlfn.XLOOKUP(C196,'Part code'!A:A,'Part code'!C:C)/G196</f>
        <v>1</v>
      </c>
    </row>
    <row r="197" spans="1:11">
      <c r="A197" s="9">
        <v>45503</v>
      </c>
      <c r="B197" s="7" t="s">
        <v>46</v>
      </c>
      <c r="C197" s="7" t="s">
        <v>31</v>
      </c>
      <c r="D197" s="7" t="str">
        <f>_xlfn.XLOOKUP(C197,'Part code'!A:A,'Part code'!D:D)</f>
        <v>Process C</v>
      </c>
      <c r="E197" s="23">
        <v>240</v>
      </c>
      <c r="F197">
        <f>SUMIFS('Eventos de perdida'!G:G,'Eventos de perdida'!D:D,A197,'Eventos de perdida'!E:E,B197,'Eventos de perdida'!F:F,C197)</f>
        <v>0</v>
      </c>
      <c r="G197">
        <f t="shared" si="3"/>
        <v>240</v>
      </c>
      <c r="H197" s="26">
        <f>ROUNDDOWN(E197/_xlfn.XLOOKUP(C197,'[1]Part code'!A:A,'[1]Part code'!C:C),0)</f>
        <v>218</v>
      </c>
      <c r="I197">
        <f>ROUNDDOWN(G197/_xlfn.XLOOKUP(C197,'[1]Part code'!A:A,'[1]Part code'!C:C),0)</f>
        <v>218</v>
      </c>
      <c r="J197">
        <v>3</v>
      </c>
      <c r="K197" s="29">
        <f>I197*_xlfn.XLOOKUP(C197,'Part code'!A:A,'Part code'!C:C)/G197</f>
        <v>0.99916666666666676</v>
      </c>
    </row>
    <row r="198" spans="1:11">
      <c r="A198" s="9">
        <v>45503</v>
      </c>
      <c r="B198" s="7" t="s">
        <v>46</v>
      </c>
      <c r="C198" s="7" t="s">
        <v>33</v>
      </c>
      <c r="D198" s="7" t="str">
        <f>_xlfn.XLOOKUP(C198,'Part code'!A:A,'Part code'!D:D)</f>
        <v>Process C</v>
      </c>
      <c r="E198" s="23">
        <v>240</v>
      </c>
      <c r="F198">
        <f>SUMIFS('Eventos de perdida'!G:G,'Eventos de perdida'!D:D,A198,'Eventos de perdida'!E:E,B198,'Eventos de perdida'!F:F,C198)</f>
        <v>0</v>
      </c>
      <c r="G198">
        <f t="shared" si="3"/>
        <v>240</v>
      </c>
      <c r="H198" s="26">
        <f>ROUNDDOWN(E198/_xlfn.XLOOKUP(C198,'[1]Part code'!A:A,'[1]Part code'!C:C),0)</f>
        <v>200</v>
      </c>
      <c r="I198">
        <f>ROUNDDOWN(G198/_xlfn.XLOOKUP(C198,'[1]Part code'!A:A,'[1]Part code'!C:C),0)</f>
        <v>200</v>
      </c>
      <c r="J198">
        <v>4</v>
      </c>
      <c r="K198" s="29">
        <f>I198*_xlfn.XLOOKUP(C198,'Part code'!A:A,'Part code'!C:C)/G198</f>
        <v>1</v>
      </c>
    </row>
    <row r="199" spans="1:11">
      <c r="A199" s="9">
        <v>45503</v>
      </c>
      <c r="B199" s="7" t="s">
        <v>47</v>
      </c>
      <c r="C199" s="7" t="s">
        <v>31</v>
      </c>
      <c r="D199" s="7" t="str">
        <f>_xlfn.XLOOKUP(C199,'Part code'!A:A,'Part code'!D:D)</f>
        <v>Process C</v>
      </c>
      <c r="E199" s="23">
        <v>480</v>
      </c>
      <c r="F199">
        <f>SUMIFS('Eventos de perdida'!G:G,'Eventos de perdida'!D:D,A199,'Eventos de perdida'!E:E,B199,'Eventos de perdida'!F:F,C199)</f>
        <v>58</v>
      </c>
      <c r="G199">
        <f t="shared" si="3"/>
        <v>422</v>
      </c>
      <c r="H199" s="26">
        <f>ROUNDDOWN(E199/_xlfn.XLOOKUP(C199,'[1]Part code'!A:A,'[1]Part code'!C:C),0)</f>
        <v>436</v>
      </c>
      <c r="I199">
        <f>ROUNDDOWN(G199/_xlfn.XLOOKUP(C199,'[1]Part code'!A:A,'[1]Part code'!C:C),0)</f>
        <v>383</v>
      </c>
      <c r="J199">
        <v>2</v>
      </c>
      <c r="K199" s="29">
        <f>I199*_xlfn.XLOOKUP(C199,'Part code'!A:A,'Part code'!C:C)/G199</f>
        <v>0.99834123222748816</v>
      </c>
    </row>
    <row r="200" spans="1:11">
      <c r="A200" s="9">
        <v>45504</v>
      </c>
      <c r="B200" s="7" t="s">
        <v>47</v>
      </c>
      <c r="C200" s="7" t="s">
        <v>25</v>
      </c>
      <c r="D200" s="7" t="str">
        <f>_xlfn.XLOOKUP(C200,'Part code'!A:A,'Part code'!D:D)</f>
        <v>Process A</v>
      </c>
      <c r="E200">
        <v>200</v>
      </c>
      <c r="F200">
        <f>SUMIFS('Eventos de perdida'!G:G,'Eventos de perdida'!D:D,A200,'Eventos de perdida'!E:E,B200,'Eventos de perdida'!F:F,C200)</f>
        <v>19</v>
      </c>
      <c r="G200">
        <f t="shared" si="3"/>
        <v>181</v>
      </c>
      <c r="H200" s="26">
        <f>ROUNDDOWN(E200/_xlfn.XLOOKUP(C200,'[1]Part code'!A:A,'[1]Part code'!C:C),0)</f>
        <v>200</v>
      </c>
      <c r="I200">
        <f>ROUNDDOWN(G200/_xlfn.XLOOKUP(C200,'[1]Part code'!A:A,'[1]Part code'!C:C),0)</f>
        <v>181</v>
      </c>
      <c r="J200">
        <v>7</v>
      </c>
      <c r="K200" s="29">
        <f>I200*_xlfn.XLOOKUP(C200,'Part code'!A:A,'Part code'!C:C)/G200</f>
        <v>1</v>
      </c>
    </row>
    <row r="201" spans="1:11">
      <c r="A201" s="9">
        <v>45504</v>
      </c>
      <c r="B201" s="7" t="s">
        <v>47</v>
      </c>
      <c r="C201" s="7" t="s">
        <v>23</v>
      </c>
      <c r="D201" s="7" t="str">
        <f>_xlfn.XLOOKUP(C201,'Part code'!A:A,'Part code'!D:D)</f>
        <v>Process A</v>
      </c>
      <c r="E201">
        <v>280</v>
      </c>
      <c r="F201">
        <f>SUMIFS('Eventos de perdida'!G:G,'Eventos de perdida'!D:D,A201,'Eventos de perdida'!E:E,B201,'Eventos de perdida'!F:F,C201)</f>
        <v>33</v>
      </c>
      <c r="G201">
        <f t="shared" si="3"/>
        <v>247</v>
      </c>
      <c r="H201" s="26">
        <f>ROUNDDOWN(E201/_xlfn.XLOOKUP(C201,'[1]Part code'!A:A,'[1]Part code'!C:C),0)</f>
        <v>280</v>
      </c>
      <c r="I201">
        <f>ROUNDDOWN(G201/_xlfn.XLOOKUP(C201,'[1]Part code'!A:A,'[1]Part code'!C:C),0)</f>
        <v>247</v>
      </c>
      <c r="J201">
        <v>4</v>
      </c>
      <c r="K201" s="29">
        <f>I201*_xlfn.XLOOKUP(C201,'Part code'!A:A,'Part code'!C:C)/G201</f>
        <v>1</v>
      </c>
    </row>
    <row r="202" spans="1:11">
      <c r="A202" s="9">
        <v>45504</v>
      </c>
      <c r="B202" s="7" t="s">
        <v>46</v>
      </c>
      <c r="C202" s="7" t="s">
        <v>25</v>
      </c>
      <c r="D202" s="7" t="str">
        <f>_xlfn.XLOOKUP(C202,'Part code'!A:A,'Part code'!D:D)</f>
        <v>Process A</v>
      </c>
      <c r="E202" s="23">
        <v>480</v>
      </c>
      <c r="F202">
        <f>SUMIFS('Eventos de perdida'!G:G,'Eventos de perdida'!D:D,A202,'Eventos de perdida'!E:E,B202,'Eventos de perdida'!F:F,C202)</f>
        <v>12</v>
      </c>
      <c r="G202">
        <f t="shared" si="3"/>
        <v>468</v>
      </c>
      <c r="H202" s="26">
        <f>ROUNDDOWN(E202/_xlfn.XLOOKUP(C202,'[1]Part code'!A:A,'[1]Part code'!C:C),0)</f>
        <v>480</v>
      </c>
      <c r="I202">
        <f>ROUNDDOWN(G202/_xlfn.XLOOKUP(C202,'[1]Part code'!A:A,'[1]Part code'!C:C),0)</f>
        <v>468</v>
      </c>
      <c r="J202">
        <v>2</v>
      </c>
      <c r="K202" s="29">
        <f>I202*_xlfn.XLOOKUP(C202,'Part code'!A:A,'Part code'!C:C)/G202</f>
        <v>1</v>
      </c>
    </row>
    <row r="203" spans="1:11">
      <c r="A203" s="9">
        <v>45504</v>
      </c>
      <c r="B203" s="7" t="s">
        <v>46</v>
      </c>
      <c r="C203" s="7" t="s">
        <v>29</v>
      </c>
      <c r="D203" s="7" t="str">
        <f>_xlfn.XLOOKUP(C203,'Part code'!A:A,'Part code'!D:D)</f>
        <v>Process B</v>
      </c>
      <c r="E203">
        <v>200</v>
      </c>
      <c r="F203">
        <f>SUMIFS('Eventos de perdida'!G:G,'Eventos de perdida'!D:D,A203,'Eventos de perdida'!E:E,B203,'Eventos de perdida'!F:F,C203)</f>
        <v>17</v>
      </c>
      <c r="G203">
        <f t="shared" si="3"/>
        <v>183</v>
      </c>
      <c r="H203" s="26">
        <f>ROUNDDOWN(E203/_xlfn.XLOOKUP(C203,'[1]Part code'!A:A,'[1]Part code'!C:C),0)</f>
        <v>210</v>
      </c>
      <c r="I203">
        <f>ROUNDDOWN(G203/_xlfn.XLOOKUP(C203,'[1]Part code'!A:A,'[1]Part code'!C:C),0)</f>
        <v>192</v>
      </c>
      <c r="J203">
        <v>0</v>
      </c>
      <c r="K203" s="29">
        <f>I203*_xlfn.XLOOKUP(C203,'Part code'!A:A,'Part code'!C:C)/G203</f>
        <v>0.99672131147540977</v>
      </c>
    </row>
    <row r="204" spans="1:11">
      <c r="A204" s="9">
        <v>45504</v>
      </c>
      <c r="B204" s="7" t="s">
        <v>46</v>
      </c>
      <c r="C204" s="7" t="s">
        <v>27</v>
      </c>
      <c r="D204" s="7" t="str">
        <f>_xlfn.XLOOKUP(C204,'Part code'!A:A,'Part code'!D:D)</f>
        <v>Process B</v>
      </c>
      <c r="E204">
        <v>280</v>
      </c>
      <c r="F204">
        <f>SUMIFS('Eventos de perdida'!G:G,'Eventos de perdida'!D:D,A204,'Eventos de perdida'!E:E,B204,'Eventos de perdida'!F:F,C204)</f>
        <v>0</v>
      </c>
      <c r="G204">
        <f t="shared" si="3"/>
        <v>280</v>
      </c>
      <c r="H204" s="26">
        <f>ROUNDDOWN(E204/_xlfn.XLOOKUP(C204,'[1]Part code'!A:A,'[1]Part code'!C:C),0)</f>
        <v>311</v>
      </c>
      <c r="I204">
        <f>ROUNDDOWN(G204/_xlfn.XLOOKUP(C204,'[1]Part code'!A:A,'[1]Part code'!C:C),0)</f>
        <v>311</v>
      </c>
      <c r="J204">
        <v>0</v>
      </c>
      <c r="K204" s="29">
        <f>I204*_xlfn.XLOOKUP(C204,'Part code'!A:A,'Part code'!C:C)/G204</f>
        <v>0.99964285714285728</v>
      </c>
    </row>
    <row r="205" spans="1:11">
      <c r="A205" s="9">
        <v>45504</v>
      </c>
      <c r="B205" s="7" t="s">
        <v>47</v>
      </c>
      <c r="C205" s="7" t="s">
        <v>29</v>
      </c>
      <c r="D205" s="7" t="str">
        <f>_xlfn.XLOOKUP(C205,'Part code'!A:A,'Part code'!D:D)</f>
        <v>Process B</v>
      </c>
      <c r="E205" s="23">
        <v>480</v>
      </c>
      <c r="F205">
        <f>SUMIFS('Eventos de perdida'!G:G,'Eventos de perdida'!D:D,A205,'Eventos de perdida'!E:E,B205,'Eventos de perdida'!F:F,C205)</f>
        <v>0</v>
      </c>
      <c r="G205">
        <f t="shared" si="3"/>
        <v>480</v>
      </c>
      <c r="H205" s="26">
        <f>ROUNDDOWN(E205/_xlfn.XLOOKUP(C205,'[1]Part code'!A:A,'[1]Part code'!C:C),0)</f>
        <v>505</v>
      </c>
      <c r="I205">
        <f>ROUNDDOWN(G205/_xlfn.XLOOKUP(C205,'[1]Part code'!A:A,'[1]Part code'!C:C),0)</f>
        <v>505</v>
      </c>
      <c r="J205">
        <v>2</v>
      </c>
      <c r="K205" s="29">
        <f>I205*_xlfn.XLOOKUP(C205,'Part code'!A:A,'Part code'!C:C)/G205</f>
        <v>0.9994791666666667</v>
      </c>
    </row>
    <row r="206" spans="1:11">
      <c r="A206" s="9">
        <v>45504</v>
      </c>
      <c r="B206" s="7" t="s">
        <v>46</v>
      </c>
      <c r="C206" s="7" t="s">
        <v>33</v>
      </c>
      <c r="D206" s="7" t="str">
        <f>_xlfn.XLOOKUP(C206,'Part code'!A:A,'Part code'!D:D)</f>
        <v>Process C</v>
      </c>
      <c r="E206">
        <v>200</v>
      </c>
      <c r="F206">
        <f>SUMIFS('Eventos de perdida'!G:G,'Eventos de perdida'!D:D,A206,'Eventos de perdida'!E:E,B206,'Eventos de perdida'!F:F,C206)</f>
        <v>23</v>
      </c>
      <c r="G206">
        <f t="shared" si="3"/>
        <v>177</v>
      </c>
      <c r="H206" s="26">
        <f>ROUNDDOWN(E206/_xlfn.XLOOKUP(C206,'[1]Part code'!A:A,'[1]Part code'!C:C),0)</f>
        <v>166</v>
      </c>
      <c r="I206">
        <f>ROUNDDOWN(G206/_xlfn.XLOOKUP(C206,'[1]Part code'!A:A,'[1]Part code'!C:C),0)</f>
        <v>147</v>
      </c>
      <c r="J206">
        <v>5</v>
      </c>
      <c r="K206" s="29">
        <f>I206*_xlfn.XLOOKUP(C206,'Part code'!A:A,'Part code'!C:C)/G206</f>
        <v>0.99661016949152548</v>
      </c>
    </row>
    <row r="207" spans="1:11">
      <c r="A207" s="9">
        <v>45504</v>
      </c>
      <c r="B207" s="7" t="s">
        <v>46</v>
      </c>
      <c r="C207" s="7" t="s">
        <v>31</v>
      </c>
      <c r="D207" s="7" t="str">
        <f>_xlfn.XLOOKUP(C207,'Part code'!A:A,'Part code'!D:D)</f>
        <v>Process C</v>
      </c>
      <c r="E207">
        <v>280</v>
      </c>
      <c r="F207">
        <f>SUMIFS('Eventos de perdida'!G:G,'Eventos de perdida'!D:D,A207,'Eventos de perdida'!E:E,B207,'Eventos de perdida'!F:F,C207)</f>
        <v>0</v>
      </c>
      <c r="G207">
        <f t="shared" si="3"/>
        <v>280</v>
      </c>
      <c r="H207" s="26">
        <f>ROUNDDOWN(E207/_xlfn.XLOOKUP(C207,'[1]Part code'!A:A,'[1]Part code'!C:C),0)</f>
        <v>254</v>
      </c>
      <c r="I207">
        <f>ROUNDDOWN(G207/_xlfn.XLOOKUP(C207,'[1]Part code'!A:A,'[1]Part code'!C:C),0)</f>
        <v>254</v>
      </c>
      <c r="J207">
        <v>2</v>
      </c>
      <c r="K207" s="29">
        <f>I207*_xlfn.XLOOKUP(C207,'Part code'!A:A,'Part code'!C:C)/G207</f>
        <v>0.997857142857143</v>
      </c>
    </row>
    <row r="208" spans="1:11">
      <c r="A208" s="9">
        <v>45504</v>
      </c>
      <c r="B208" s="7" t="s">
        <v>47</v>
      </c>
      <c r="C208" s="7" t="s">
        <v>33</v>
      </c>
      <c r="D208" s="7" t="str">
        <f>_xlfn.XLOOKUP(C208,'Part code'!A:A,'Part code'!D:D)</f>
        <v>Process C</v>
      </c>
      <c r="E208" s="23">
        <v>480</v>
      </c>
      <c r="F208">
        <f>SUMIFS('Eventos de perdida'!G:G,'Eventos de perdida'!D:D,A208,'Eventos de perdida'!E:E,B208,'Eventos de perdida'!F:F,C208)</f>
        <v>0</v>
      </c>
      <c r="G208">
        <f t="shared" si="3"/>
        <v>480</v>
      </c>
      <c r="H208" s="26">
        <f>ROUNDDOWN(E208/_xlfn.XLOOKUP(C208,'[1]Part code'!A:A,'[1]Part code'!C:C),0)</f>
        <v>400</v>
      </c>
      <c r="I208">
        <f>ROUNDDOWN(G208/_xlfn.XLOOKUP(C208,'[1]Part code'!A:A,'[1]Part code'!C:C),0)</f>
        <v>400</v>
      </c>
      <c r="J208">
        <v>6</v>
      </c>
      <c r="K208" s="29">
        <f>I208*_xlfn.XLOOKUP(C208,'Part code'!A:A,'Part code'!C:C)/G208</f>
        <v>1</v>
      </c>
    </row>
  </sheetData>
  <dataValidations disablePrompts="1" count="1">
    <dataValidation type="list" allowBlank="1" showErrorMessage="1" sqref="B2:B208" xr:uid="{55778713-B424-4413-93FD-0A43AAC9E1A3}">
      <formula1>"1st,2nd"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1"/>
  <sheetViews>
    <sheetView showGridLines="0" tabSelected="1" workbookViewId="0"/>
  </sheetViews>
  <sheetFormatPr defaultColWidth="12.5703125" defaultRowHeight="15.75" customHeight="1"/>
  <cols>
    <col min="2" max="2" width="18.42578125" customWidth="1"/>
    <col min="3" max="3" width="13.5703125" customWidth="1"/>
    <col min="8" max="9" width="23.42578125" customWidth="1"/>
    <col min="10" max="10" width="19" customWidth="1"/>
  </cols>
  <sheetData>
    <row r="1" spans="1:12" ht="57.75" customHeight="1">
      <c r="A1" s="1" t="s">
        <v>48</v>
      </c>
      <c r="B1" s="2" t="s">
        <v>1</v>
      </c>
      <c r="C1" s="3" t="s">
        <v>0</v>
      </c>
      <c r="D1" s="4" t="s">
        <v>35</v>
      </c>
      <c r="E1" s="4" t="s">
        <v>36</v>
      </c>
      <c r="F1" s="4" t="s">
        <v>18</v>
      </c>
      <c r="G1" s="5" t="s">
        <v>49</v>
      </c>
      <c r="H1" s="5" t="s">
        <v>50</v>
      </c>
      <c r="I1" s="5" t="s">
        <v>51</v>
      </c>
      <c r="J1" s="5" t="s">
        <v>52</v>
      </c>
      <c r="K1" s="6" t="s">
        <v>53</v>
      </c>
      <c r="L1" s="6" t="s">
        <v>54</v>
      </c>
    </row>
    <row r="2" spans="1:12" ht="12.75">
      <c r="A2" s="7">
        <v>1</v>
      </c>
      <c r="B2" s="7" t="s">
        <v>3</v>
      </c>
      <c r="C2" s="8" t="s">
        <v>2</v>
      </c>
      <c r="D2" s="9">
        <v>45474</v>
      </c>
      <c r="E2" s="7" t="s">
        <v>46</v>
      </c>
      <c r="F2" s="7" t="s">
        <v>23</v>
      </c>
      <c r="G2" s="7">
        <v>35</v>
      </c>
      <c r="H2" s="8" t="s">
        <v>55</v>
      </c>
      <c r="I2" s="24">
        <f>_xlfn.XLOOKUP(F2,'Part code'!A:A,'Part code'!E:E)/_xlfn.XLOOKUP(F2,'Part code'!A:A,'Part code'!C:C)</f>
        <v>25</v>
      </c>
      <c r="J2" s="25">
        <f>G2*I2</f>
        <v>875</v>
      </c>
      <c r="K2" s="7">
        <v>0</v>
      </c>
      <c r="L2" s="7">
        <v>2</v>
      </c>
    </row>
    <row r="3" spans="1:12" ht="12.75">
      <c r="A3" s="7">
        <v>2</v>
      </c>
      <c r="B3" s="7" t="s">
        <v>3</v>
      </c>
      <c r="C3" s="10" t="s">
        <v>2</v>
      </c>
      <c r="D3" s="9">
        <v>45474</v>
      </c>
      <c r="E3" s="7" t="s">
        <v>47</v>
      </c>
      <c r="F3" s="7" t="s">
        <v>25</v>
      </c>
      <c r="G3" s="7">
        <v>30</v>
      </c>
      <c r="H3" s="10" t="s">
        <v>56</v>
      </c>
      <c r="I3" s="24">
        <f>_xlfn.XLOOKUP(F3,'Part code'!A:A,'Part code'!E:E)/_xlfn.XLOOKUP(F3,'Part code'!A:A,'Part code'!C:C)</f>
        <v>30</v>
      </c>
      <c r="J3" s="25">
        <f t="shared" ref="J3:J66" si="0">G3*I3</f>
        <v>900</v>
      </c>
      <c r="K3" s="7">
        <v>1</v>
      </c>
      <c r="L3" s="7">
        <v>2</v>
      </c>
    </row>
    <row r="4" spans="1:12" ht="12.75">
      <c r="A4" s="7">
        <v>3</v>
      </c>
      <c r="B4" s="7" t="s">
        <v>8</v>
      </c>
      <c r="C4" s="8" t="s">
        <v>10</v>
      </c>
      <c r="D4" s="9">
        <v>45474</v>
      </c>
      <c r="E4" s="7" t="s">
        <v>46</v>
      </c>
      <c r="F4" s="7" t="s">
        <v>29</v>
      </c>
      <c r="G4" s="7">
        <v>43</v>
      </c>
      <c r="H4" s="8" t="s">
        <v>57</v>
      </c>
      <c r="I4" s="24">
        <f>_xlfn.XLOOKUP(F4,'Part code'!A:A,'Part code'!E:E)/_xlfn.XLOOKUP(F4,'Part code'!A:A,'Part code'!C:C)</f>
        <v>15.789473684210527</v>
      </c>
      <c r="J4" s="25">
        <f t="shared" si="0"/>
        <v>678.94736842105272</v>
      </c>
      <c r="K4" s="7">
        <v>5</v>
      </c>
      <c r="L4" s="7">
        <v>1</v>
      </c>
    </row>
    <row r="5" spans="1:12" ht="12.75">
      <c r="A5" s="7">
        <v>4</v>
      </c>
      <c r="B5" s="7" t="s">
        <v>14</v>
      </c>
      <c r="C5" s="10" t="s">
        <v>13</v>
      </c>
      <c r="D5" s="9">
        <v>45474</v>
      </c>
      <c r="E5" s="7" t="s">
        <v>47</v>
      </c>
      <c r="F5" s="7" t="s">
        <v>31</v>
      </c>
      <c r="G5" s="7">
        <v>55</v>
      </c>
      <c r="H5" s="10" t="s">
        <v>58</v>
      </c>
      <c r="I5" s="24">
        <f>_xlfn.XLOOKUP(F5,'Part code'!A:A,'Part code'!E:E)/_xlfn.XLOOKUP(F5,'Part code'!A:A,'Part code'!C:C)</f>
        <v>17.27272727272727</v>
      </c>
      <c r="J5" s="25">
        <f t="shared" si="0"/>
        <v>949.99999999999989</v>
      </c>
      <c r="K5" s="7">
        <v>0</v>
      </c>
      <c r="L5" s="7">
        <v>0</v>
      </c>
    </row>
    <row r="6" spans="1:12" ht="12.75">
      <c r="A6" s="7">
        <v>5</v>
      </c>
      <c r="B6" s="7" t="s">
        <v>8</v>
      </c>
      <c r="C6" s="8" t="s">
        <v>9</v>
      </c>
      <c r="D6" s="9">
        <v>45475</v>
      </c>
      <c r="E6" s="7" t="s">
        <v>46</v>
      </c>
      <c r="F6" s="7" t="s">
        <v>29</v>
      </c>
      <c r="G6" s="7">
        <v>15</v>
      </c>
      <c r="H6" s="8" t="s">
        <v>59</v>
      </c>
      <c r="I6" s="24">
        <f>_xlfn.XLOOKUP(F6,'Part code'!A:A,'Part code'!E:E)/_xlfn.XLOOKUP(F6,'Part code'!A:A,'Part code'!C:C)</f>
        <v>15.789473684210527</v>
      </c>
      <c r="J6" s="25">
        <f t="shared" si="0"/>
        <v>236.84210526315792</v>
      </c>
      <c r="K6" s="7">
        <v>0</v>
      </c>
      <c r="L6" s="7">
        <v>0</v>
      </c>
    </row>
    <row r="7" spans="1:12" ht="12.75">
      <c r="A7" s="7">
        <v>6</v>
      </c>
      <c r="B7" s="7" t="s">
        <v>3</v>
      </c>
      <c r="C7" s="10" t="s">
        <v>5</v>
      </c>
      <c r="D7" s="9">
        <v>45475</v>
      </c>
      <c r="E7" s="7" t="s">
        <v>47</v>
      </c>
      <c r="F7" s="7" t="s">
        <v>23</v>
      </c>
      <c r="G7" s="7">
        <v>67</v>
      </c>
      <c r="H7" s="10" t="s">
        <v>60</v>
      </c>
      <c r="I7" s="24">
        <f>_xlfn.XLOOKUP(F7,'Part code'!A:A,'Part code'!E:E)/_xlfn.XLOOKUP(F7,'Part code'!A:A,'Part code'!C:C)</f>
        <v>25</v>
      </c>
      <c r="J7" s="25">
        <f t="shared" si="0"/>
        <v>1675</v>
      </c>
      <c r="K7" s="7">
        <v>0</v>
      </c>
      <c r="L7" s="7">
        <v>0</v>
      </c>
    </row>
    <row r="8" spans="1:12" ht="12.75">
      <c r="A8" s="7">
        <v>7</v>
      </c>
      <c r="B8" s="7" t="s">
        <v>14</v>
      </c>
      <c r="C8" s="8" t="s">
        <v>15</v>
      </c>
      <c r="D8" s="9">
        <v>45476</v>
      </c>
      <c r="E8" s="7" t="s">
        <v>46</v>
      </c>
      <c r="F8" s="7" t="s">
        <v>31</v>
      </c>
      <c r="G8" s="7">
        <v>81</v>
      </c>
      <c r="H8" s="8" t="s">
        <v>61</v>
      </c>
      <c r="I8" s="24">
        <f>_xlfn.XLOOKUP(F8,'Part code'!A:A,'Part code'!E:E)/_xlfn.XLOOKUP(F8,'Part code'!A:A,'Part code'!C:C)</f>
        <v>17.27272727272727</v>
      </c>
      <c r="J8" s="25">
        <f t="shared" si="0"/>
        <v>1399.0909090909088</v>
      </c>
      <c r="K8" s="7">
        <v>0</v>
      </c>
      <c r="L8" s="7">
        <v>0</v>
      </c>
    </row>
    <row r="9" spans="1:12" ht="12.75">
      <c r="A9" s="7">
        <v>8</v>
      </c>
      <c r="B9" s="7" t="s">
        <v>3</v>
      </c>
      <c r="C9" s="10" t="s">
        <v>4</v>
      </c>
      <c r="D9" s="9">
        <v>45476</v>
      </c>
      <c r="E9" s="7" t="s">
        <v>47</v>
      </c>
      <c r="F9" s="7" t="s">
        <v>23</v>
      </c>
      <c r="G9" s="7">
        <v>5</v>
      </c>
      <c r="H9" s="10" t="s">
        <v>62</v>
      </c>
      <c r="I9" s="24">
        <f>_xlfn.XLOOKUP(F9,'Part code'!A:A,'Part code'!E:E)/_xlfn.XLOOKUP(F9,'Part code'!A:A,'Part code'!C:C)</f>
        <v>25</v>
      </c>
      <c r="J9" s="25">
        <f t="shared" si="0"/>
        <v>125</v>
      </c>
      <c r="K9" s="7">
        <v>0</v>
      </c>
      <c r="L9" s="7">
        <v>0</v>
      </c>
    </row>
    <row r="10" spans="1:12" ht="12.75">
      <c r="A10" s="7">
        <v>9</v>
      </c>
      <c r="B10" s="7" t="s">
        <v>14</v>
      </c>
      <c r="C10" s="8" t="s">
        <v>16</v>
      </c>
      <c r="D10" s="9">
        <v>45476</v>
      </c>
      <c r="E10" s="7" t="s">
        <v>46</v>
      </c>
      <c r="F10" s="7" t="s">
        <v>31</v>
      </c>
      <c r="G10" s="7">
        <v>15</v>
      </c>
      <c r="H10" s="8" t="s">
        <v>63</v>
      </c>
      <c r="I10" s="24">
        <f>_xlfn.XLOOKUP(F10,'Part code'!A:A,'Part code'!E:E)/_xlfn.XLOOKUP(F10,'Part code'!A:A,'Part code'!C:C)</f>
        <v>17.27272727272727</v>
      </c>
      <c r="J10" s="25">
        <f t="shared" si="0"/>
        <v>259.09090909090907</v>
      </c>
      <c r="K10" s="7">
        <v>0</v>
      </c>
      <c r="L10" s="7">
        <v>0</v>
      </c>
    </row>
    <row r="11" spans="1:12" ht="12.75">
      <c r="A11" s="7">
        <v>10</v>
      </c>
      <c r="B11" s="7" t="s">
        <v>8</v>
      </c>
      <c r="C11" s="10" t="s">
        <v>10</v>
      </c>
      <c r="D11" s="9">
        <v>45477</v>
      </c>
      <c r="E11" s="7" t="s">
        <v>47</v>
      </c>
      <c r="F11" s="7" t="s">
        <v>27</v>
      </c>
      <c r="G11" s="7">
        <v>9</v>
      </c>
      <c r="H11" s="10" t="s">
        <v>64</v>
      </c>
      <c r="I11" s="24">
        <f>_xlfn.XLOOKUP(F11,'Part code'!A:A,'Part code'!E:E)/_xlfn.XLOOKUP(F11,'Part code'!A:A,'Part code'!C:C)</f>
        <v>22.222222222222221</v>
      </c>
      <c r="J11" s="25">
        <f t="shared" si="0"/>
        <v>200</v>
      </c>
      <c r="K11" s="7">
        <v>0</v>
      </c>
      <c r="L11" s="7">
        <v>0</v>
      </c>
    </row>
    <row r="12" spans="1:12" ht="12.75">
      <c r="A12" s="7">
        <v>11</v>
      </c>
      <c r="B12" s="7" t="s">
        <v>8</v>
      </c>
      <c r="C12" s="8" t="s">
        <v>11</v>
      </c>
      <c r="D12" s="9">
        <v>45478</v>
      </c>
      <c r="E12" s="7" t="s">
        <v>46</v>
      </c>
      <c r="F12" s="7" t="s">
        <v>29</v>
      </c>
      <c r="G12" s="7">
        <v>5</v>
      </c>
      <c r="H12" s="8" t="s">
        <v>65</v>
      </c>
      <c r="I12" s="24">
        <f>_xlfn.XLOOKUP(F12,'Part code'!A:A,'Part code'!E:E)/_xlfn.XLOOKUP(F12,'Part code'!A:A,'Part code'!C:C)</f>
        <v>15.789473684210527</v>
      </c>
      <c r="J12" s="25">
        <f t="shared" si="0"/>
        <v>78.94736842105263</v>
      </c>
      <c r="K12" s="7">
        <v>0</v>
      </c>
      <c r="L12" s="7">
        <v>0</v>
      </c>
    </row>
    <row r="13" spans="1:12" ht="12.75">
      <c r="A13" s="7">
        <v>12</v>
      </c>
      <c r="B13" s="7" t="s">
        <v>3</v>
      </c>
      <c r="C13" s="10" t="s">
        <v>2</v>
      </c>
      <c r="D13" s="9">
        <v>45478</v>
      </c>
      <c r="E13" s="7" t="s">
        <v>47</v>
      </c>
      <c r="F13" s="7" t="s">
        <v>23</v>
      </c>
      <c r="G13" s="7">
        <v>5</v>
      </c>
      <c r="H13" s="10" t="s">
        <v>66</v>
      </c>
      <c r="I13" s="24">
        <f>_xlfn.XLOOKUP(F13,'Part code'!A:A,'Part code'!E:E)/_xlfn.XLOOKUP(F13,'Part code'!A:A,'Part code'!C:C)</f>
        <v>25</v>
      </c>
      <c r="J13" s="25">
        <f t="shared" si="0"/>
        <v>125</v>
      </c>
      <c r="K13" s="7">
        <v>0</v>
      </c>
      <c r="L13" s="7">
        <v>0</v>
      </c>
    </row>
    <row r="14" spans="1:12" ht="12.75">
      <c r="A14" s="7">
        <v>13</v>
      </c>
      <c r="B14" s="7" t="s">
        <v>14</v>
      </c>
      <c r="C14" s="8" t="s">
        <v>17</v>
      </c>
      <c r="D14" s="9">
        <v>45478</v>
      </c>
      <c r="E14" s="7" t="s">
        <v>46</v>
      </c>
      <c r="F14" s="7" t="s">
        <v>33</v>
      </c>
      <c r="G14" s="7">
        <v>5</v>
      </c>
      <c r="H14" s="8" t="s">
        <v>67</v>
      </c>
      <c r="I14" s="24">
        <f>_xlfn.XLOOKUP(F14,'Part code'!A:A,'Part code'!E:E)/_xlfn.XLOOKUP(F14,'Part code'!A:A,'Part code'!C:C)</f>
        <v>17.5</v>
      </c>
      <c r="J14" s="25">
        <f t="shared" si="0"/>
        <v>87.5</v>
      </c>
      <c r="K14" s="7">
        <v>1</v>
      </c>
      <c r="L14" s="7">
        <v>1</v>
      </c>
    </row>
    <row r="15" spans="1:12" ht="12.75">
      <c r="A15" s="7">
        <v>14</v>
      </c>
      <c r="B15" s="7" t="s">
        <v>14</v>
      </c>
      <c r="C15" s="10" t="s">
        <v>13</v>
      </c>
      <c r="D15" s="9">
        <v>45478</v>
      </c>
      <c r="E15" s="7" t="s">
        <v>47</v>
      </c>
      <c r="F15" s="7" t="s">
        <v>31</v>
      </c>
      <c r="G15" s="7">
        <v>33</v>
      </c>
      <c r="H15" s="10" t="s">
        <v>55</v>
      </c>
      <c r="I15" s="24">
        <f>_xlfn.XLOOKUP(F15,'Part code'!A:A,'Part code'!E:E)/_xlfn.XLOOKUP(F15,'Part code'!A:A,'Part code'!C:C)</f>
        <v>17.27272727272727</v>
      </c>
      <c r="J15" s="25">
        <f t="shared" si="0"/>
        <v>569.99999999999989</v>
      </c>
      <c r="K15" s="7">
        <v>0</v>
      </c>
      <c r="L15" s="7">
        <v>0</v>
      </c>
    </row>
    <row r="16" spans="1:12" ht="12.75">
      <c r="A16" s="7">
        <v>15</v>
      </c>
      <c r="B16" s="7" t="s">
        <v>3</v>
      </c>
      <c r="C16" s="8" t="s">
        <v>2</v>
      </c>
      <c r="D16" s="9">
        <v>45478</v>
      </c>
      <c r="E16" s="7" t="s">
        <v>46</v>
      </c>
      <c r="F16" s="7" t="s">
        <v>25</v>
      </c>
      <c r="G16" s="7">
        <v>30</v>
      </c>
      <c r="H16" s="8" t="s">
        <v>56</v>
      </c>
      <c r="I16" s="24">
        <f>_xlfn.XLOOKUP(F16,'Part code'!A:A,'Part code'!E:E)/_xlfn.XLOOKUP(F16,'Part code'!A:A,'Part code'!C:C)</f>
        <v>30</v>
      </c>
      <c r="J16" s="25">
        <f t="shared" si="0"/>
        <v>900</v>
      </c>
      <c r="K16" s="7">
        <v>0</v>
      </c>
      <c r="L16" s="7">
        <v>0</v>
      </c>
    </row>
    <row r="17" spans="1:12" ht="12.75">
      <c r="A17" s="7">
        <v>16</v>
      </c>
      <c r="B17" s="7" t="s">
        <v>8</v>
      </c>
      <c r="C17" s="10" t="s">
        <v>12</v>
      </c>
      <c r="D17" s="9">
        <v>45478</v>
      </c>
      <c r="E17" s="7" t="s">
        <v>47</v>
      </c>
      <c r="F17" s="7" t="s">
        <v>27</v>
      </c>
      <c r="G17" s="7">
        <v>39</v>
      </c>
      <c r="H17" s="10" t="s">
        <v>57</v>
      </c>
      <c r="I17" s="24">
        <f>_xlfn.XLOOKUP(F17,'Part code'!A:A,'Part code'!E:E)/_xlfn.XLOOKUP(F17,'Part code'!A:A,'Part code'!C:C)</f>
        <v>22.222222222222221</v>
      </c>
      <c r="J17" s="25">
        <f t="shared" si="0"/>
        <v>866.66666666666663</v>
      </c>
      <c r="K17" s="7">
        <v>0</v>
      </c>
      <c r="L17" s="7">
        <v>0</v>
      </c>
    </row>
    <row r="18" spans="1:12" ht="12.75">
      <c r="A18" s="7">
        <v>17</v>
      </c>
      <c r="B18" s="7" t="s">
        <v>3</v>
      </c>
      <c r="C18" s="8" t="s">
        <v>5</v>
      </c>
      <c r="D18" s="9">
        <v>45481</v>
      </c>
      <c r="E18" s="7" t="s">
        <v>47</v>
      </c>
      <c r="F18" s="7" t="s">
        <v>25</v>
      </c>
      <c r="G18" s="7">
        <v>23</v>
      </c>
      <c r="H18" s="8" t="s">
        <v>58</v>
      </c>
      <c r="I18" s="24">
        <f>_xlfn.XLOOKUP(F18,'Part code'!A:A,'Part code'!E:E)/_xlfn.XLOOKUP(F18,'Part code'!A:A,'Part code'!C:C)</f>
        <v>30</v>
      </c>
      <c r="J18" s="25">
        <f t="shared" si="0"/>
        <v>690</v>
      </c>
      <c r="K18" s="7">
        <v>0</v>
      </c>
      <c r="L18" s="7">
        <v>0</v>
      </c>
    </row>
    <row r="19" spans="1:12" ht="12.75">
      <c r="A19" s="7">
        <v>18</v>
      </c>
      <c r="B19" s="7" t="s">
        <v>14</v>
      </c>
      <c r="C19" s="10" t="s">
        <v>15</v>
      </c>
      <c r="D19" s="9">
        <v>45481</v>
      </c>
      <c r="E19" s="7" t="s">
        <v>47</v>
      </c>
      <c r="F19" s="7" t="s">
        <v>33</v>
      </c>
      <c r="G19" s="7">
        <v>18</v>
      </c>
      <c r="H19" s="10" t="s">
        <v>59</v>
      </c>
      <c r="I19" s="24">
        <f>_xlfn.XLOOKUP(F19,'Part code'!A:A,'Part code'!E:E)/_xlfn.XLOOKUP(F19,'Part code'!A:A,'Part code'!C:C)</f>
        <v>17.5</v>
      </c>
      <c r="J19" s="25">
        <f t="shared" si="0"/>
        <v>315</v>
      </c>
      <c r="K19" s="7">
        <v>0</v>
      </c>
      <c r="L19" s="7">
        <v>0</v>
      </c>
    </row>
    <row r="20" spans="1:12" ht="12.75">
      <c r="A20" s="7">
        <v>19</v>
      </c>
      <c r="B20" s="7" t="s">
        <v>3</v>
      </c>
      <c r="C20" s="8" t="s">
        <v>4</v>
      </c>
      <c r="D20" s="9">
        <v>45481</v>
      </c>
      <c r="E20" s="7" t="s">
        <v>46</v>
      </c>
      <c r="F20" s="7" t="s">
        <v>25</v>
      </c>
      <c r="G20" s="7">
        <v>45</v>
      </c>
      <c r="H20" s="8" t="s">
        <v>60</v>
      </c>
      <c r="I20" s="24">
        <f>_xlfn.XLOOKUP(F20,'Part code'!A:A,'Part code'!E:E)/_xlfn.XLOOKUP(F20,'Part code'!A:A,'Part code'!C:C)</f>
        <v>30</v>
      </c>
      <c r="J20" s="25">
        <f t="shared" si="0"/>
        <v>1350</v>
      </c>
      <c r="K20" s="7">
        <v>0</v>
      </c>
      <c r="L20" s="7">
        <v>0</v>
      </c>
    </row>
    <row r="21" spans="1:12" ht="12.75">
      <c r="A21" s="7">
        <v>20</v>
      </c>
      <c r="B21" s="7" t="s">
        <v>3</v>
      </c>
      <c r="C21" s="10" t="s">
        <v>2</v>
      </c>
      <c r="D21" s="9">
        <v>45481</v>
      </c>
      <c r="E21" s="7" t="s">
        <v>47</v>
      </c>
      <c r="F21" s="7" t="s">
        <v>23</v>
      </c>
      <c r="G21" s="7">
        <v>21</v>
      </c>
      <c r="H21" s="10" t="s">
        <v>61</v>
      </c>
      <c r="I21" s="24">
        <f>_xlfn.XLOOKUP(F21,'Part code'!A:A,'Part code'!E:E)/_xlfn.XLOOKUP(F21,'Part code'!A:A,'Part code'!C:C)</f>
        <v>25</v>
      </c>
      <c r="J21" s="25">
        <f t="shared" si="0"/>
        <v>525</v>
      </c>
      <c r="K21" s="7">
        <v>0</v>
      </c>
      <c r="L21" s="7">
        <v>0</v>
      </c>
    </row>
    <row r="22" spans="1:12" ht="12.75">
      <c r="A22" s="7">
        <v>21</v>
      </c>
      <c r="B22" s="7" t="s">
        <v>8</v>
      </c>
      <c r="C22" s="8" t="s">
        <v>7</v>
      </c>
      <c r="D22" s="9">
        <v>45481</v>
      </c>
      <c r="E22" s="7" t="s">
        <v>46</v>
      </c>
      <c r="F22" s="7" t="s">
        <v>29</v>
      </c>
      <c r="G22" s="7">
        <v>7</v>
      </c>
      <c r="H22" s="8" t="s">
        <v>62</v>
      </c>
      <c r="I22" s="24">
        <f>_xlfn.XLOOKUP(F22,'Part code'!A:A,'Part code'!E:E)/_xlfn.XLOOKUP(F22,'Part code'!A:A,'Part code'!C:C)</f>
        <v>15.789473684210527</v>
      </c>
      <c r="J22" s="25">
        <f t="shared" si="0"/>
        <v>110.5263157894737</v>
      </c>
      <c r="K22" s="7">
        <v>0</v>
      </c>
      <c r="L22" s="7">
        <v>0</v>
      </c>
    </row>
    <row r="23" spans="1:12" ht="12.75">
      <c r="A23" s="7">
        <v>22</v>
      </c>
      <c r="B23" s="7" t="s">
        <v>3</v>
      </c>
      <c r="C23" s="10" t="s">
        <v>4</v>
      </c>
      <c r="D23" s="9">
        <v>45481</v>
      </c>
      <c r="E23" s="7" t="s">
        <v>47</v>
      </c>
      <c r="F23" s="7" t="s">
        <v>25</v>
      </c>
      <c r="G23" s="7">
        <v>18</v>
      </c>
      <c r="H23" s="10" t="s">
        <v>63</v>
      </c>
      <c r="I23" s="24">
        <f>_xlfn.XLOOKUP(F23,'Part code'!A:A,'Part code'!E:E)/_xlfn.XLOOKUP(F23,'Part code'!A:A,'Part code'!C:C)</f>
        <v>30</v>
      </c>
      <c r="J23" s="25">
        <f t="shared" si="0"/>
        <v>540</v>
      </c>
      <c r="K23" s="7">
        <v>0</v>
      </c>
      <c r="L23" s="7">
        <v>0</v>
      </c>
    </row>
    <row r="24" spans="1:12" ht="12.75">
      <c r="A24" s="7">
        <v>23</v>
      </c>
      <c r="B24" s="7" t="s">
        <v>14</v>
      </c>
      <c r="C24" s="8" t="s">
        <v>16</v>
      </c>
      <c r="D24" s="9">
        <v>45482</v>
      </c>
      <c r="E24" s="7" t="s">
        <v>46</v>
      </c>
      <c r="F24" s="7" t="s">
        <v>31</v>
      </c>
      <c r="G24" s="7">
        <v>5</v>
      </c>
      <c r="H24" s="8" t="s">
        <v>64</v>
      </c>
      <c r="I24" s="24">
        <f>_xlfn.XLOOKUP(F24,'Part code'!A:A,'Part code'!E:E)/_xlfn.XLOOKUP(F24,'Part code'!A:A,'Part code'!C:C)</f>
        <v>17.27272727272727</v>
      </c>
      <c r="J24" s="25">
        <f t="shared" si="0"/>
        <v>86.363636363636346</v>
      </c>
      <c r="K24" s="7">
        <v>0</v>
      </c>
      <c r="L24" s="7">
        <v>2</v>
      </c>
    </row>
    <row r="25" spans="1:12" ht="12.75">
      <c r="A25" s="7">
        <v>24</v>
      </c>
      <c r="B25" s="7" t="s">
        <v>14</v>
      </c>
      <c r="C25" s="10" t="s">
        <v>17</v>
      </c>
      <c r="D25" s="9">
        <v>45482</v>
      </c>
      <c r="E25" s="7" t="s">
        <v>46</v>
      </c>
      <c r="F25" s="7" t="s">
        <v>33</v>
      </c>
      <c r="G25" s="7">
        <v>10</v>
      </c>
      <c r="H25" s="10" t="s">
        <v>65</v>
      </c>
      <c r="I25" s="24">
        <f>_xlfn.XLOOKUP(F25,'Part code'!A:A,'Part code'!E:E)/_xlfn.XLOOKUP(F25,'Part code'!A:A,'Part code'!C:C)</f>
        <v>17.5</v>
      </c>
      <c r="J25" s="25">
        <f t="shared" si="0"/>
        <v>175</v>
      </c>
      <c r="K25" s="7">
        <v>0</v>
      </c>
      <c r="L25" s="7">
        <v>0</v>
      </c>
    </row>
    <row r="26" spans="1:12" ht="12.75">
      <c r="A26" s="7">
        <v>25</v>
      </c>
      <c r="B26" s="7" t="s">
        <v>3</v>
      </c>
      <c r="C26" s="8" t="s">
        <v>4</v>
      </c>
      <c r="D26" s="9">
        <v>45482</v>
      </c>
      <c r="E26" s="7" t="s">
        <v>46</v>
      </c>
      <c r="F26" s="7" t="s">
        <v>23</v>
      </c>
      <c r="G26" s="7">
        <v>10</v>
      </c>
      <c r="H26" s="8" t="s">
        <v>66</v>
      </c>
      <c r="I26" s="24">
        <f>_xlfn.XLOOKUP(F26,'Part code'!A:A,'Part code'!E:E)/_xlfn.XLOOKUP(F26,'Part code'!A:A,'Part code'!C:C)</f>
        <v>25</v>
      </c>
      <c r="J26" s="25">
        <f t="shared" si="0"/>
        <v>250</v>
      </c>
      <c r="K26" s="7">
        <v>0</v>
      </c>
      <c r="L26" s="7">
        <v>0</v>
      </c>
    </row>
    <row r="27" spans="1:12" ht="12.75">
      <c r="A27" s="7">
        <v>26</v>
      </c>
      <c r="B27" s="7" t="s">
        <v>8</v>
      </c>
      <c r="C27" s="10" t="s">
        <v>9</v>
      </c>
      <c r="D27" s="9">
        <v>45482</v>
      </c>
      <c r="E27" s="7" t="s">
        <v>47</v>
      </c>
      <c r="F27" s="7" t="s">
        <v>29</v>
      </c>
      <c r="G27" s="7">
        <v>10</v>
      </c>
      <c r="H27" s="10" t="s">
        <v>67</v>
      </c>
      <c r="I27" s="24">
        <f>_xlfn.XLOOKUP(F27,'Part code'!A:A,'Part code'!E:E)/_xlfn.XLOOKUP(F27,'Part code'!A:A,'Part code'!C:C)</f>
        <v>15.789473684210527</v>
      </c>
      <c r="J27" s="25">
        <f t="shared" si="0"/>
        <v>157.89473684210526</v>
      </c>
      <c r="K27" s="7">
        <v>5</v>
      </c>
      <c r="L27" s="7">
        <v>0</v>
      </c>
    </row>
    <row r="28" spans="1:12" ht="12.75">
      <c r="A28" s="7">
        <v>27</v>
      </c>
      <c r="B28" s="7" t="s">
        <v>8</v>
      </c>
      <c r="C28" s="8" t="s">
        <v>10</v>
      </c>
      <c r="D28" s="9">
        <v>45483</v>
      </c>
      <c r="E28" s="7" t="s">
        <v>46</v>
      </c>
      <c r="F28" s="7" t="s">
        <v>29</v>
      </c>
      <c r="G28" s="7">
        <v>55</v>
      </c>
      <c r="H28" s="7" t="s">
        <v>55</v>
      </c>
      <c r="I28" s="24">
        <f>_xlfn.XLOOKUP(F28,'Part code'!A:A,'Part code'!E:E)/_xlfn.XLOOKUP(F28,'Part code'!A:A,'Part code'!C:C)</f>
        <v>15.789473684210527</v>
      </c>
      <c r="J28" s="25">
        <f t="shared" si="0"/>
        <v>868.42105263157896</v>
      </c>
      <c r="K28" s="7">
        <v>0</v>
      </c>
      <c r="L28" s="7">
        <v>0</v>
      </c>
    </row>
    <row r="29" spans="1:12" ht="12.75">
      <c r="A29" s="7">
        <v>28</v>
      </c>
      <c r="B29" s="7" t="s">
        <v>3</v>
      </c>
      <c r="C29" s="10" t="s">
        <v>2</v>
      </c>
      <c r="D29" s="9">
        <v>45483</v>
      </c>
      <c r="E29" s="7" t="s">
        <v>47</v>
      </c>
      <c r="F29" s="7" t="s">
        <v>25</v>
      </c>
      <c r="G29" s="7">
        <v>30</v>
      </c>
      <c r="H29" s="7" t="s">
        <v>56</v>
      </c>
      <c r="I29" s="24">
        <f>_xlfn.XLOOKUP(F29,'Part code'!A:A,'Part code'!E:E)/_xlfn.XLOOKUP(F29,'Part code'!A:A,'Part code'!C:C)</f>
        <v>30</v>
      </c>
      <c r="J29" s="25">
        <f t="shared" si="0"/>
        <v>900</v>
      </c>
      <c r="K29" s="7">
        <v>0</v>
      </c>
      <c r="L29" s="7">
        <v>0</v>
      </c>
    </row>
    <row r="30" spans="1:12" ht="12.75">
      <c r="A30" s="7">
        <v>29</v>
      </c>
      <c r="B30" s="7" t="s">
        <v>14</v>
      </c>
      <c r="C30" s="8" t="s">
        <v>13</v>
      </c>
      <c r="D30" s="9">
        <v>45483</v>
      </c>
      <c r="E30" s="7" t="s">
        <v>46</v>
      </c>
      <c r="F30" s="7" t="s">
        <v>33</v>
      </c>
      <c r="G30" s="7">
        <v>19</v>
      </c>
      <c r="H30" s="7" t="s">
        <v>57</v>
      </c>
      <c r="I30" s="24">
        <f>_xlfn.XLOOKUP(F30,'Part code'!A:A,'Part code'!E:E)/_xlfn.XLOOKUP(F30,'Part code'!A:A,'Part code'!C:C)</f>
        <v>17.5</v>
      </c>
      <c r="J30" s="25">
        <f t="shared" si="0"/>
        <v>332.5</v>
      </c>
      <c r="K30" s="7">
        <v>0</v>
      </c>
      <c r="L30" s="7">
        <v>0</v>
      </c>
    </row>
    <row r="31" spans="1:12" ht="12.75">
      <c r="A31" s="7">
        <v>30</v>
      </c>
      <c r="B31" s="7" t="s">
        <v>8</v>
      </c>
      <c r="C31" s="10" t="s">
        <v>11</v>
      </c>
      <c r="D31" s="9">
        <v>45483</v>
      </c>
      <c r="E31" s="7" t="s">
        <v>47</v>
      </c>
      <c r="F31" s="7" t="s">
        <v>27</v>
      </c>
      <c r="G31" s="7">
        <v>34</v>
      </c>
      <c r="H31" s="7" t="s">
        <v>58</v>
      </c>
      <c r="I31" s="24">
        <f>_xlfn.XLOOKUP(F31,'Part code'!A:A,'Part code'!E:E)/_xlfn.XLOOKUP(F31,'Part code'!A:A,'Part code'!C:C)</f>
        <v>22.222222222222221</v>
      </c>
      <c r="J31" s="25">
        <f t="shared" si="0"/>
        <v>755.55555555555554</v>
      </c>
      <c r="K31" s="7">
        <v>0</v>
      </c>
      <c r="L31" s="7">
        <v>0</v>
      </c>
    </row>
    <row r="32" spans="1:12" ht="12.75">
      <c r="A32" s="7">
        <v>31</v>
      </c>
      <c r="B32" s="7" t="s">
        <v>14</v>
      </c>
      <c r="C32" s="8" t="s">
        <v>15</v>
      </c>
      <c r="D32" s="9">
        <v>45484</v>
      </c>
      <c r="E32" s="7" t="s">
        <v>46</v>
      </c>
      <c r="F32" s="7" t="s">
        <v>33</v>
      </c>
      <c r="G32" s="7">
        <v>16</v>
      </c>
      <c r="H32" s="7" t="s">
        <v>59</v>
      </c>
      <c r="I32" s="24">
        <f>_xlfn.XLOOKUP(F32,'Part code'!A:A,'Part code'!E:E)/_xlfn.XLOOKUP(F32,'Part code'!A:A,'Part code'!C:C)</f>
        <v>17.5</v>
      </c>
      <c r="J32" s="25">
        <f t="shared" si="0"/>
        <v>280</v>
      </c>
      <c r="K32" s="7">
        <v>0</v>
      </c>
      <c r="L32" s="7">
        <v>0</v>
      </c>
    </row>
    <row r="33" spans="1:12" ht="12.75">
      <c r="A33" s="7">
        <v>32</v>
      </c>
      <c r="B33" s="7" t="s">
        <v>3</v>
      </c>
      <c r="C33" s="10" t="s">
        <v>2</v>
      </c>
      <c r="D33" s="9">
        <v>45484</v>
      </c>
      <c r="E33" s="7" t="s">
        <v>47</v>
      </c>
      <c r="F33" s="7" t="s">
        <v>23</v>
      </c>
      <c r="G33" s="7">
        <v>23</v>
      </c>
      <c r="H33" s="7" t="s">
        <v>60</v>
      </c>
      <c r="I33" s="24">
        <f>_xlfn.XLOOKUP(F33,'Part code'!A:A,'Part code'!E:E)/_xlfn.XLOOKUP(F33,'Part code'!A:A,'Part code'!C:C)</f>
        <v>25</v>
      </c>
      <c r="J33" s="25">
        <f t="shared" si="0"/>
        <v>575</v>
      </c>
      <c r="K33" s="7">
        <v>0</v>
      </c>
      <c r="L33" s="7">
        <v>0</v>
      </c>
    </row>
    <row r="34" spans="1:12" ht="12.75">
      <c r="A34" s="7">
        <v>33</v>
      </c>
      <c r="B34" s="7" t="s">
        <v>3</v>
      </c>
      <c r="C34" s="8" t="s">
        <v>4</v>
      </c>
      <c r="D34" s="9">
        <v>45484</v>
      </c>
      <c r="E34" s="7" t="s">
        <v>46</v>
      </c>
      <c r="F34" s="7" t="s">
        <v>25</v>
      </c>
      <c r="G34" s="7">
        <v>22</v>
      </c>
      <c r="H34" s="7" t="s">
        <v>61</v>
      </c>
      <c r="I34" s="24">
        <f>_xlfn.XLOOKUP(F34,'Part code'!A:A,'Part code'!E:E)/_xlfn.XLOOKUP(F34,'Part code'!A:A,'Part code'!C:C)</f>
        <v>30</v>
      </c>
      <c r="J34" s="25">
        <f t="shared" si="0"/>
        <v>660</v>
      </c>
      <c r="K34" s="7">
        <v>0</v>
      </c>
      <c r="L34" s="7">
        <v>0</v>
      </c>
    </row>
    <row r="35" spans="1:12" ht="12.75">
      <c r="A35" s="7">
        <v>34</v>
      </c>
      <c r="B35" s="7" t="s">
        <v>8</v>
      </c>
      <c r="C35" s="10" t="s">
        <v>12</v>
      </c>
      <c r="D35" s="9">
        <v>45484</v>
      </c>
      <c r="E35" s="7" t="s">
        <v>47</v>
      </c>
      <c r="F35" s="7" t="s">
        <v>29</v>
      </c>
      <c r="G35" s="7">
        <v>3</v>
      </c>
      <c r="H35" s="7" t="s">
        <v>62</v>
      </c>
      <c r="I35" s="24">
        <f>_xlfn.XLOOKUP(F35,'Part code'!A:A,'Part code'!E:E)/_xlfn.XLOOKUP(F35,'Part code'!A:A,'Part code'!C:C)</f>
        <v>15.789473684210527</v>
      </c>
      <c r="J35" s="25">
        <f t="shared" si="0"/>
        <v>47.368421052631582</v>
      </c>
      <c r="K35" s="7">
        <v>0</v>
      </c>
      <c r="L35" s="7">
        <v>0</v>
      </c>
    </row>
    <row r="36" spans="1:12" ht="12.75">
      <c r="A36" s="7">
        <v>35</v>
      </c>
      <c r="B36" s="7" t="s">
        <v>8</v>
      </c>
      <c r="C36" s="8" t="s">
        <v>10</v>
      </c>
      <c r="D36" s="9">
        <v>45484</v>
      </c>
      <c r="E36" s="7" t="s">
        <v>46</v>
      </c>
      <c r="F36" s="7" t="s">
        <v>27</v>
      </c>
      <c r="G36" s="7">
        <v>14</v>
      </c>
      <c r="H36" s="7" t="s">
        <v>63</v>
      </c>
      <c r="I36" s="24">
        <f>_xlfn.XLOOKUP(F36,'Part code'!A:A,'Part code'!E:E)/_xlfn.XLOOKUP(F36,'Part code'!A:A,'Part code'!C:C)</f>
        <v>22.222222222222221</v>
      </c>
      <c r="J36" s="25">
        <f t="shared" si="0"/>
        <v>311.11111111111109</v>
      </c>
      <c r="K36" s="7">
        <v>0</v>
      </c>
      <c r="L36" s="7">
        <v>0</v>
      </c>
    </row>
    <row r="37" spans="1:12" ht="12.75">
      <c r="A37" s="7">
        <v>36</v>
      </c>
      <c r="B37" s="7" t="s">
        <v>14</v>
      </c>
      <c r="C37" s="10" t="s">
        <v>16</v>
      </c>
      <c r="D37" s="9">
        <v>45484</v>
      </c>
      <c r="E37" s="7" t="s">
        <v>47</v>
      </c>
      <c r="F37" s="7" t="s">
        <v>31</v>
      </c>
      <c r="G37" s="7">
        <v>10</v>
      </c>
      <c r="H37" s="7" t="s">
        <v>64</v>
      </c>
      <c r="I37" s="24">
        <f>_xlfn.XLOOKUP(F37,'Part code'!A:A,'Part code'!E:E)/_xlfn.XLOOKUP(F37,'Part code'!A:A,'Part code'!C:C)</f>
        <v>17.27272727272727</v>
      </c>
      <c r="J37" s="25">
        <f t="shared" si="0"/>
        <v>172.72727272727269</v>
      </c>
      <c r="K37" s="7">
        <v>0</v>
      </c>
      <c r="L37" s="7">
        <v>0</v>
      </c>
    </row>
    <row r="38" spans="1:12" ht="12.75">
      <c r="A38" s="7">
        <v>37</v>
      </c>
      <c r="B38" s="7" t="s">
        <v>8</v>
      </c>
      <c r="C38" s="8" t="s">
        <v>9</v>
      </c>
      <c r="D38" s="9">
        <v>45485</v>
      </c>
      <c r="E38" s="7" t="s">
        <v>46</v>
      </c>
      <c r="F38" s="7" t="s">
        <v>29</v>
      </c>
      <c r="G38" s="7">
        <v>5</v>
      </c>
      <c r="H38" s="7" t="s">
        <v>65</v>
      </c>
      <c r="I38" s="24">
        <f>_xlfn.XLOOKUP(F38,'Part code'!A:A,'Part code'!E:E)/_xlfn.XLOOKUP(F38,'Part code'!A:A,'Part code'!C:C)</f>
        <v>15.789473684210527</v>
      </c>
      <c r="J38" s="25">
        <f t="shared" si="0"/>
        <v>78.94736842105263</v>
      </c>
      <c r="K38" s="7">
        <v>0</v>
      </c>
      <c r="L38" s="7">
        <v>0</v>
      </c>
    </row>
    <row r="39" spans="1:12" ht="12.75">
      <c r="A39" s="7">
        <v>38</v>
      </c>
      <c r="B39" s="7" t="s">
        <v>3</v>
      </c>
      <c r="C39" s="10" t="s">
        <v>5</v>
      </c>
      <c r="D39" s="9">
        <v>45485</v>
      </c>
      <c r="E39" s="7" t="s">
        <v>46</v>
      </c>
      <c r="F39" s="7" t="s">
        <v>25</v>
      </c>
      <c r="G39" s="7">
        <v>5</v>
      </c>
      <c r="H39" s="7" t="s">
        <v>66</v>
      </c>
      <c r="I39" s="24">
        <f>_xlfn.XLOOKUP(F39,'Part code'!A:A,'Part code'!E:E)/_xlfn.XLOOKUP(F39,'Part code'!A:A,'Part code'!C:C)</f>
        <v>30</v>
      </c>
      <c r="J39" s="25">
        <f t="shared" si="0"/>
        <v>150</v>
      </c>
      <c r="K39" s="7">
        <v>0</v>
      </c>
      <c r="L39" s="7">
        <v>0</v>
      </c>
    </row>
    <row r="40" spans="1:12" ht="12.75">
      <c r="A40" s="7">
        <v>39</v>
      </c>
      <c r="B40" s="7" t="s">
        <v>8</v>
      </c>
      <c r="C40" s="8" t="s">
        <v>10</v>
      </c>
      <c r="D40" s="9">
        <v>45485</v>
      </c>
      <c r="E40" s="7" t="s">
        <v>46</v>
      </c>
      <c r="F40" s="7" t="s">
        <v>29</v>
      </c>
      <c r="G40" s="7">
        <v>5</v>
      </c>
      <c r="H40" s="7" t="s">
        <v>67</v>
      </c>
      <c r="I40" s="24">
        <f>_xlfn.XLOOKUP(F40,'Part code'!A:A,'Part code'!E:E)/_xlfn.XLOOKUP(F40,'Part code'!A:A,'Part code'!C:C)</f>
        <v>15.789473684210527</v>
      </c>
      <c r="J40" s="25">
        <f t="shared" si="0"/>
        <v>78.94736842105263</v>
      </c>
      <c r="K40" s="7">
        <v>1</v>
      </c>
      <c r="L40" s="7">
        <v>0</v>
      </c>
    </row>
    <row r="41" spans="1:12" ht="12.75">
      <c r="A41" s="7">
        <v>40</v>
      </c>
      <c r="B41" s="7" t="s">
        <v>8</v>
      </c>
      <c r="C41" s="10" t="s">
        <v>11</v>
      </c>
      <c r="D41" s="9">
        <v>45485</v>
      </c>
      <c r="E41" s="7" t="s">
        <v>47</v>
      </c>
      <c r="F41" s="7" t="s">
        <v>29</v>
      </c>
      <c r="G41" s="7">
        <v>48</v>
      </c>
      <c r="H41" s="7" t="s">
        <v>55</v>
      </c>
      <c r="I41" s="24">
        <f>_xlfn.XLOOKUP(F41,'Part code'!A:A,'Part code'!E:E)/_xlfn.XLOOKUP(F41,'Part code'!A:A,'Part code'!C:C)</f>
        <v>15.789473684210527</v>
      </c>
      <c r="J41" s="25">
        <f t="shared" si="0"/>
        <v>757.89473684210532</v>
      </c>
      <c r="K41" s="7">
        <v>0</v>
      </c>
      <c r="L41" s="7">
        <v>0</v>
      </c>
    </row>
    <row r="42" spans="1:12" ht="12.75">
      <c r="A42" s="7">
        <v>41</v>
      </c>
      <c r="B42" s="7" t="s">
        <v>3</v>
      </c>
      <c r="C42" s="8" t="s">
        <v>2</v>
      </c>
      <c r="D42" s="9">
        <v>45485</v>
      </c>
      <c r="E42" s="7" t="s">
        <v>46</v>
      </c>
      <c r="F42" s="7" t="s">
        <v>25</v>
      </c>
      <c r="G42" s="7">
        <v>30</v>
      </c>
      <c r="H42" s="7" t="s">
        <v>56</v>
      </c>
      <c r="I42" s="24">
        <f>_xlfn.XLOOKUP(F42,'Part code'!A:A,'Part code'!E:E)/_xlfn.XLOOKUP(F42,'Part code'!A:A,'Part code'!C:C)</f>
        <v>30</v>
      </c>
      <c r="J42" s="25">
        <f t="shared" si="0"/>
        <v>900</v>
      </c>
      <c r="K42" s="7">
        <v>0</v>
      </c>
      <c r="L42" s="7">
        <v>0</v>
      </c>
    </row>
    <row r="43" spans="1:12" ht="12.75">
      <c r="A43" s="7">
        <v>42</v>
      </c>
      <c r="B43" s="7" t="s">
        <v>14</v>
      </c>
      <c r="C43" s="10" t="s">
        <v>15</v>
      </c>
      <c r="D43" s="9">
        <v>45488</v>
      </c>
      <c r="E43" s="7" t="s">
        <v>47</v>
      </c>
      <c r="F43" s="7" t="s">
        <v>33</v>
      </c>
      <c r="G43" s="7">
        <v>35</v>
      </c>
      <c r="H43" s="7" t="s">
        <v>57</v>
      </c>
      <c r="I43" s="24">
        <f>_xlfn.XLOOKUP(F43,'Part code'!A:A,'Part code'!E:E)/_xlfn.XLOOKUP(F43,'Part code'!A:A,'Part code'!C:C)</f>
        <v>17.5</v>
      </c>
      <c r="J43" s="25">
        <f t="shared" si="0"/>
        <v>612.5</v>
      </c>
      <c r="K43" s="7">
        <v>0</v>
      </c>
      <c r="L43" s="7">
        <v>0</v>
      </c>
    </row>
    <row r="44" spans="1:12" ht="12.75">
      <c r="A44" s="7">
        <v>43</v>
      </c>
      <c r="B44" s="7" t="s">
        <v>14</v>
      </c>
      <c r="C44" s="8" t="s">
        <v>13</v>
      </c>
      <c r="D44" s="9">
        <v>45488</v>
      </c>
      <c r="E44" s="7" t="s">
        <v>46</v>
      </c>
      <c r="F44" s="7" t="s">
        <v>33</v>
      </c>
      <c r="G44" s="7">
        <v>15</v>
      </c>
      <c r="H44" s="7" t="s">
        <v>58</v>
      </c>
      <c r="I44" s="24">
        <f>_xlfn.XLOOKUP(F44,'Part code'!A:A,'Part code'!E:E)/_xlfn.XLOOKUP(F44,'Part code'!A:A,'Part code'!C:C)</f>
        <v>17.5</v>
      </c>
      <c r="J44" s="25">
        <f t="shared" si="0"/>
        <v>262.5</v>
      </c>
      <c r="K44" s="7">
        <v>0</v>
      </c>
      <c r="L44" s="7">
        <v>0</v>
      </c>
    </row>
    <row r="45" spans="1:12" ht="12.75">
      <c r="A45" s="7">
        <v>44</v>
      </c>
      <c r="B45" s="7" t="s">
        <v>8</v>
      </c>
      <c r="C45" s="10" t="s">
        <v>12</v>
      </c>
      <c r="D45" s="9">
        <v>45488</v>
      </c>
      <c r="E45" s="7" t="s">
        <v>47</v>
      </c>
      <c r="F45" s="7" t="s">
        <v>27</v>
      </c>
      <c r="G45" s="7">
        <v>13</v>
      </c>
      <c r="H45" s="7" t="s">
        <v>59</v>
      </c>
      <c r="I45" s="24">
        <f>_xlfn.XLOOKUP(F45,'Part code'!A:A,'Part code'!E:E)/_xlfn.XLOOKUP(F45,'Part code'!A:A,'Part code'!C:C)</f>
        <v>22.222222222222221</v>
      </c>
      <c r="J45" s="25">
        <f t="shared" si="0"/>
        <v>288.88888888888886</v>
      </c>
      <c r="K45" s="7">
        <v>0</v>
      </c>
      <c r="L45" s="7">
        <v>0</v>
      </c>
    </row>
    <row r="46" spans="1:12" ht="12.75">
      <c r="A46" s="7">
        <v>45</v>
      </c>
      <c r="B46" s="7" t="s">
        <v>3</v>
      </c>
      <c r="C46" s="8" t="s">
        <v>2</v>
      </c>
      <c r="D46" s="9">
        <v>45488</v>
      </c>
      <c r="E46" s="7" t="s">
        <v>46</v>
      </c>
      <c r="F46" s="7" t="s">
        <v>23</v>
      </c>
      <c r="G46" s="7">
        <v>5</v>
      </c>
      <c r="H46" s="7" t="s">
        <v>60</v>
      </c>
      <c r="I46" s="24">
        <f>_xlfn.XLOOKUP(F46,'Part code'!A:A,'Part code'!E:E)/_xlfn.XLOOKUP(F46,'Part code'!A:A,'Part code'!C:C)</f>
        <v>25</v>
      </c>
      <c r="J46" s="25">
        <f t="shared" si="0"/>
        <v>125</v>
      </c>
      <c r="K46" s="7">
        <v>0</v>
      </c>
      <c r="L46" s="7">
        <v>0</v>
      </c>
    </row>
    <row r="47" spans="1:12" ht="12.75">
      <c r="A47" s="7">
        <v>46</v>
      </c>
      <c r="B47" s="7" t="s">
        <v>3</v>
      </c>
      <c r="C47" s="10" t="s">
        <v>4</v>
      </c>
      <c r="D47" s="9">
        <v>45488</v>
      </c>
      <c r="E47" s="7" t="s">
        <v>47</v>
      </c>
      <c r="F47" s="7" t="s">
        <v>25</v>
      </c>
      <c r="G47" s="7">
        <v>11</v>
      </c>
      <c r="H47" s="7" t="s">
        <v>61</v>
      </c>
      <c r="I47" s="24">
        <f>_xlfn.XLOOKUP(F47,'Part code'!A:A,'Part code'!E:E)/_xlfn.XLOOKUP(F47,'Part code'!A:A,'Part code'!C:C)</f>
        <v>30</v>
      </c>
      <c r="J47" s="25">
        <f t="shared" si="0"/>
        <v>330</v>
      </c>
      <c r="K47" s="7">
        <v>0</v>
      </c>
      <c r="L47" s="7">
        <v>0</v>
      </c>
    </row>
    <row r="48" spans="1:12" ht="12.75">
      <c r="A48" s="7">
        <v>47</v>
      </c>
      <c r="B48" s="7" t="s">
        <v>8</v>
      </c>
      <c r="C48" s="8" t="s">
        <v>9</v>
      </c>
      <c r="D48" s="9">
        <v>45488</v>
      </c>
      <c r="E48" s="7" t="s">
        <v>46</v>
      </c>
      <c r="F48" s="7" t="s">
        <v>27</v>
      </c>
      <c r="G48" s="7">
        <v>10</v>
      </c>
      <c r="H48" s="7" t="s">
        <v>62</v>
      </c>
      <c r="I48" s="24">
        <f>_xlfn.XLOOKUP(F48,'Part code'!A:A,'Part code'!E:E)/_xlfn.XLOOKUP(F48,'Part code'!A:A,'Part code'!C:C)</f>
        <v>22.222222222222221</v>
      </c>
      <c r="J48" s="25">
        <f t="shared" si="0"/>
        <v>222.22222222222223</v>
      </c>
      <c r="K48" s="7">
        <v>0</v>
      </c>
      <c r="L48" s="7">
        <v>0</v>
      </c>
    </row>
    <row r="49" spans="1:12" ht="12.75">
      <c r="A49" s="7">
        <v>48</v>
      </c>
      <c r="B49" s="7" t="s">
        <v>14</v>
      </c>
      <c r="C49" s="10" t="s">
        <v>15</v>
      </c>
      <c r="D49" s="9">
        <v>45488</v>
      </c>
      <c r="E49" s="7" t="s">
        <v>47</v>
      </c>
      <c r="F49" s="7" t="s">
        <v>33</v>
      </c>
      <c r="G49" s="7">
        <v>11</v>
      </c>
      <c r="H49" s="7" t="s">
        <v>63</v>
      </c>
      <c r="I49" s="24">
        <f>_xlfn.XLOOKUP(F49,'Part code'!A:A,'Part code'!E:E)/_xlfn.XLOOKUP(F49,'Part code'!A:A,'Part code'!C:C)</f>
        <v>17.5</v>
      </c>
      <c r="J49" s="25">
        <f t="shared" si="0"/>
        <v>192.5</v>
      </c>
      <c r="K49" s="7">
        <v>0</v>
      </c>
      <c r="L49" s="7">
        <v>0</v>
      </c>
    </row>
    <row r="50" spans="1:12" ht="12.75">
      <c r="A50" s="7">
        <v>49</v>
      </c>
      <c r="B50" s="7" t="s">
        <v>8</v>
      </c>
      <c r="C50" s="8" t="s">
        <v>9</v>
      </c>
      <c r="D50" s="9">
        <v>45489</v>
      </c>
      <c r="E50" s="7" t="s">
        <v>46</v>
      </c>
      <c r="F50" s="7" t="s">
        <v>27</v>
      </c>
      <c r="G50" s="7">
        <v>5</v>
      </c>
      <c r="H50" s="7" t="s">
        <v>64</v>
      </c>
      <c r="I50" s="24">
        <f>_xlfn.XLOOKUP(F50,'Part code'!A:A,'Part code'!E:E)/_xlfn.XLOOKUP(F50,'Part code'!A:A,'Part code'!C:C)</f>
        <v>22.222222222222221</v>
      </c>
      <c r="J50" s="25">
        <f t="shared" si="0"/>
        <v>111.11111111111111</v>
      </c>
      <c r="K50" s="7">
        <v>0</v>
      </c>
      <c r="L50" s="7">
        <v>0</v>
      </c>
    </row>
    <row r="51" spans="1:12" ht="12.75">
      <c r="A51" s="7">
        <v>50</v>
      </c>
      <c r="B51" s="7" t="s">
        <v>3</v>
      </c>
      <c r="C51" s="10" t="s">
        <v>5</v>
      </c>
      <c r="D51" s="9">
        <v>45489</v>
      </c>
      <c r="E51" s="7" t="s">
        <v>47</v>
      </c>
      <c r="F51" s="7" t="s">
        <v>23</v>
      </c>
      <c r="G51" s="7">
        <v>4</v>
      </c>
      <c r="H51" s="7" t="s">
        <v>65</v>
      </c>
      <c r="I51" s="24">
        <f>_xlfn.XLOOKUP(F51,'Part code'!A:A,'Part code'!E:E)/_xlfn.XLOOKUP(F51,'Part code'!A:A,'Part code'!C:C)</f>
        <v>25</v>
      </c>
      <c r="J51" s="25">
        <f t="shared" si="0"/>
        <v>100</v>
      </c>
      <c r="K51" s="7">
        <v>0</v>
      </c>
      <c r="L51" s="7">
        <v>0</v>
      </c>
    </row>
    <row r="52" spans="1:12" ht="12.75">
      <c r="A52" s="7">
        <v>51</v>
      </c>
      <c r="B52" s="7" t="s">
        <v>14</v>
      </c>
      <c r="C52" s="8" t="s">
        <v>16</v>
      </c>
      <c r="D52" s="9">
        <v>45489</v>
      </c>
      <c r="E52" s="7" t="s">
        <v>46</v>
      </c>
      <c r="F52" s="7" t="s">
        <v>31</v>
      </c>
      <c r="G52" s="7">
        <v>4</v>
      </c>
      <c r="H52" s="7" t="s">
        <v>66</v>
      </c>
      <c r="I52" s="24">
        <f>_xlfn.XLOOKUP(F52,'Part code'!A:A,'Part code'!E:E)/_xlfn.XLOOKUP(F52,'Part code'!A:A,'Part code'!C:C)</f>
        <v>17.27272727272727</v>
      </c>
      <c r="J52" s="25">
        <f t="shared" si="0"/>
        <v>69.090909090909079</v>
      </c>
      <c r="K52" s="7">
        <v>0</v>
      </c>
      <c r="L52" s="7">
        <v>0</v>
      </c>
    </row>
    <row r="53" spans="1:12" ht="12.75">
      <c r="A53" s="7">
        <v>52</v>
      </c>
      <c r="B53" s="7" t="s">
        <v>3</v>
      </c>
      <c r="C53" s="10" t="s">
        <v>4</v>
      </c>
      <c r="D53" s="9">
        <v>45489</v>
      </c>
      <c r="E53" s="7" t="s">
        <v>47</v>
      </c>
      <c r="F53" s="7" t="s">
        <v>25</v>
      </c>
      <c r="G53" s="7">
        <v>4</v>
      </c>
      <c r="H53" s="7" t="s">
        <v>67</v>
      </c>
      <c r="I53" s="24">
        <f>_xlfn.XLOOKUP(F53,'Part code'!A:A,'Part code'!E:E)/_xlfn.XLOOKUP(F53,'Part code'!A:A,'Part code'!C:C)</f>
        <v>30</v>
      </c>
      <c r="J53" s="25">
        <f t="shared" si="0"/>
        <v>120</v>
      </c>
      <c r="K53" s="7">
        <v>0</v>
      </c>
      <c r="L53" s="7">
        <v>3</v>
      </c>
    </row>
    <row r="54" spans="1:12" ht="12.75">
      <c r="A54" s="7">
        <v>53</v>
      </c>
      <c r="B54" s="7" t="s">
        <v>14</v>
      </c>
      <c r="C54" s="8" t="s">
        <v>17</v>
      </c>
      <c r="D54" s="9">
        <v>45489</v>
      </c>
      <c r="E54" s="7" t="s">
        <v>47</v>
      </c>
      <c r="F54" s="7" t="s">
        <v>33</v>
      </c>
      <c r="G54" s="7">
        <v>61</v>
      </c>
      <c r="H54" s="7" t="s">
        <v>55</v>
      </c>
      <c r="I54" s="24">
        <f>_xlfn.XLOOKUP(F54,'Part code'!A:A,'Part code'!E:E)/_xlfn.XLOOKUP(F54,'Part code'!A:A,'Part code'!C:C)</f>
        <v>17.5</v>
      </c>
      <c r="J54" s="25">
        <f t="shared" si="0"/>
        <v>1067.5</v>
      </c>
      <c r="K54" s="7">
        <v>0</v>
      </c>
      <c r="L54" s="7">
        <v>0</v>
      </c>
    </row>
    <row r="55" spans="1:12" ht="12.75">
      <c r="A55" s="7">
        <v>54</v>
      </c>
      <c r="B55" s="7" t="s">
        <v>8</v>
      </c>
      <c r="C55" s="10" t="s">
        <v>7</v>
      </c>
      <c r="D55" s="9">
        <v>45489</v>
      </c>
      <c r="E55" s="7" t="s">
        <v>47</v>
      </c>
      <c r="F55" s="7" t="s">
        <v>29</v>
      </c>
      <c r="G55" s="7">
        <v>25</v>
      </c>
      <c r="H55" s="7" t="s">
        <v>56</v>
      </c>
      <c r="I55" s="24">
        <f>_xlfn.XLOOKUP(F55,'Part code'!A:A,'Part code'!E:E)/_xlfn.XLOOKUP(F55,'Part code'!A:A,'Part code'!C:C)</f>
        <v>15.789473684210527</v>
      </c>
      <c r="J55" s="25">
        <f t="shared" si="0"/>
        <v>394.73684210526318</v>
      </c>
      <c r="K55" s="7">
        <v>0</v>
      </c>
      <c r="L55" s="7">
        <v>0</v>
      </c>
    </row>
    <row r="56" spans="1:12" ht="12.75">
      <c r="A56" s="7">
        <v>55</v>
      </c>
      <c r="B56" s="7" t="s">
        <v>8</v>
      </c>
      <c r="C56" s="8" t="s">
        <v>9</v>
      </c>
      <c r="D56" s="9">
        <v>45490</v>
      </c>
      <c r="E56" s="7" t="s">
        <v>46</v>
      </c>
      <c r="F56" s="7" t="s">
        <v>27</v>
      </c>
      <c r="G56" s="7">
        <v>40</v>
      </c>
      <c r="H56" s="7" t="s">
        <v>57</v>
      </c>
      <c r="I56" s="24">
        <f>_xlfn.XLOOKUP(F56,'Part code'!A:A,'Part code'!E:E)/_xlfn.XLOOKUP(F56,'Part code'!A:A,'Part code'!C:C)</f>
        <v>22.222222222222221</v>
      </c>
      <c r="J56" s="25">
        <f t="shared" si="0"/>
        <v>888.88888888888891</v>
      </c>
      <c r="K56" s="7">
        <v>0</v>
      </c>
      <c r="L56" s="7">
        <v>0</v>
      </c>
    </row>
    <row r="57" spans="1:12" ht="12.75">
      <c r="A57" s="7">
        <v>56</v>
      </c>
      <c r="B57" s="7" t="s">
        <v>3</v>
      </c>
      <c r="C57" s="10" t="s">
        <v>2</v>
      </c>
      <c r="D57" s="9">
        <v>45490</v>
      </c>
      <c r="E57" s="7" t="s">
        <v>47</v>
      </c>
      <c r="F57" s="7" t="s">
        <v>23</v>
      </c>
      <c r="G57" s="7">
        <v>25</v>
      </c>
      <c r="H57" s="7" t="s">
        <v>58</v>
      </c>
      <c r="I57" s="24">
        <f>_xlfn.XLOOKUP(F57,'Part code'!A:A,'Part code'!E:E)/_xlfn.XLOOKUP(F57,'Part code'!A:A,'Part code'!C:C)</f>
        <v>25</v>
      </c>
      <c r="J57" s="25">
        <f t="shared" si="0"/>
        <v>625</v>
      </c>
      <c r="K57" s="7">
        <v>0</v>
      </c>
      <c r="L57" s="7">
        <v>0</v>
      </c>
    </row>
    <row r="58" spans="1:12" ht="12.75">
      <c r="A58" s="7">
        <v>57</v>
      </c>
      <c r="B58" s="7" t="s">
        <v>14</v>
      </c>
      <c r="C58" s="8" t="s">
        <v>15</v>
      </c>
      <c r="D58" s="9">
        <v>45490</v>
      </c>
      <c r="E58" s="7" t="s">
        <v>46</v>
      </c>
      <c r="F58" s="7" t="s">
        <v>31</v>
      </c>
      <c r="G58" s="7">
        <v>15</v>
      </c>
      <c r="H58" s="7" t="s">
        <v>59</v>
      </c>
      <c r="I58" s="24">
        <f>_xlfn.XLOOKUP(F58,'Part code'!A:A,'Part code'!E:E)/_xlfn.XLOOKUP(F58,'Part code'!A:A,'Part code'!C:C)</f>
        <v>17.27272727272727</v>
      </c>
      <c r="J58" s="25">
        <f t="shared" si="0"/>
        <v>259.09090909090907</v>
      </c>
      <c r="K58" s="7">
        <v>0</v>
      </c>
      <c r="L58" s="7">
        <v>0</v>
      </c>
    </row>
    <row r="59" spans="1:12" ht="12.75">
      <c r="A59" s="7">
        <v>58</v>
      </c>
      <c r="B59" s="7" t="s">
        <v>14</v>
      </c>
      <c r="C59" s="10" t="s">
        <v>15</v>
      </c>
      <c r="D59" s="9">
        <v>45490</v>
      </c>
      <c r="E59" s="7" t="s">
        <v>47</v>
      </c>
      <c r="F59" s="7" t="s">
        <v>33</v>
      </c>
      <c r="G59" s="7">
        <v>9</v>
      </c>
      <c r="H59" s="7" t="s">
        <v>60</v>
      </c>
      <c r="I59" s="24">
        <f>_xlfn.XLOOKUP(F59,'Part code'!A:A,'Part code'!E:E)/_xlfn.XLOOKUP(F59,'Part code'!A:A,'Part code'!C:C)</f>
        <v>17.5</v>
      </c>
      <c r="J59" s="25">
        <f t="shared" si="0"/>
        <v>157.5</v>
      </c>
      <c r="K59" s="7">
        <v>0</v>
      </c>
      <c r="L59" s="7">
        <v>0</v>
      </c>
    </row>
    <row r="60" spans="1:12" ht="12.75">
      <c r="A60" s="7">
        <v>59</v>
      </c>
      <c r="B60" s="7" t="s">
        <v>3</v>
      </c>
      <c r="C60" s="8" t="s">
        <v>4</v>
      </c>
      <c r="D60" s="9">
        <v>45490</v>
      </c>
      <c r="E60" s="7" t="s">
        <v>46</v>
      </c>
      <c r="F60" s="7" t="s">
        <v>25</v>
      </c>
      <c r="G60" s="7">
        <v>54</v>
      </c>
      <c r="H60" s="7" t="s">
        <v>61</v>
      </c>
      <c r="I60" s="24">
        <f>_xlfn.XLOOKUP(F60,'Part code'!A:A,'Part code'!E:E)/_xlfn.XLOOKUP(F60,'Part code'!A:A,'Part code'!C:C)</f>
        <v>30</v>
      </c>
      <c r="J60" s="25">
        <f t="shared" si="0"/>
        <v>1620</v>
      </c>
      <c r="K60" s="7">
        <v>0</v>
      </c>
      <c r="L60" s="7">
        <v>0</v>
      </c>
    </row>
    <row r="61" spans="1:12" ht="12.75">
      <c r="A61" s="7">
        <v>60</v>
      </c>
      <c r="B61" s="7" t="s">
        <v>8</v>
      </c>
      <c r="C61" s="10" t="s">
        <v>12</v>
      </c>
      <c r="D61" s="9">
        <v>45490</v>
      </c>
      <c r="E61" s="7" t="s">
        <v>47</v>
      </c>
      <c r="F61" s="7" t="s">
        <v>29</v>
      </c>
      <c r="G61" s="7">
        <v>9</v>
      </c>
      <c r="H61" s="7" t="s">
        <v>62</v>
      </c>
      <c r="I61" s="24">
        <f>_xlfn.XLOOKUP(F61,'Part code'!A:A,'Part code'!E:E)/_xlfn.XLOOKUP(F61,'Part code'!A:A,'Part code'!C:C)</f>
        <v>15.789473684210527</v>
      </c>
      <c r="J61" s="25">
        <f t="shared" si="0"/>
        <v>142.10526315789474</v>
      </c>
      <c r="K61" s="7">
        <v>0</v>
      </c>
      <c r="L61" s="7">
        <v>0</v>
      </c>
    </row>
    <row r="62" spans="1:12" ht="12.75">
      <c r="A62" s="7">
        <v>61</v>
      </c>
      <c r="B62" s="7" t="s">
        <v>3</v>
      </c>
      <c r="C62" s="8" t="s">
        <v>5</v>
      </c>
      <c r="D62" s="9">
        <v>45490</v>
      </c>
      <c r="E62" s="7" t="s">
        <v>46</v>
      </c>
      <c r="F62" s="7" t="s">
        <v>23</v>
      </c>
      <c r="G62" s="7">
        <v>15</v>
      </c>
      <c r="H62" s="7" t="s">
        <v>63</v>
      </c>
      <c r="I62" s="24">
        <f>_xlfn.XLOOKUP(F62,'Part code'!A:A,'Part code'!E:E)/_xlfn.XLOOKUP(F62,'Part code'!A:A,'Part code'!C:C)</f>
        <v>25</v>
      </c>
      <c r="J62" s="25">
        <f t="shared" si="0"/>
        <v>375</v>
      </c>
      <c r="K62" s="7">
        <v>0</v>
      </c>
      <c r="L62" s="7">
        <v>0</v>
      </c>
    </row>
    <row r="63" spans="1:12" ht="12.75">
      <c r="A63" s="7">
        <v>62</v>
      </c>
      <c r="B63" s="7" t="s">
        <v>14</v>
      </c>
      <c r="C63" s="10" t="s">
        <v>16</v>
      </c>
      <c r="D63" s="9">
        <v>45490</v>
      </c>
      <c r="E63" s="7" t="s">
        <v>47</v>
      </c>
      <c r="F63" s="7" t="s">
        <v>31</v>
      </c>
      <c r="G63" s="7">
        <v>4</v>
      </c>
      <c r="H63" s="7" t="s">
        <v>64</v>
      </c>
      <c r="I63" s="24">
        <f>_xlfn.XLOOKUP(F63,'Part code'!A:A,'Part code'!E:E)/_xlfn.XLOOKUP(F63,'Part code'!A:A,'Part code'!C:C)</f>
        <v>17.27272727272727</v>
      </c>
      <c r="J63" s="25">
        <f t="shared" si="0"/>
        <v>69.090909090909079</v>
      </c>
      <c r="K63" s="7">
        <v>0</v>
      </c>
      <c r="L63" s="7">
        <v>0</v>
      </c>
    </row>
    <row r="64" spans="1:12" ht="12.75">
      <c r="A64" s="7">
        <v>63</v>
      </c>
      <c r="B64" s="7" t="s">
        <v>3</v>
      </c>
      <c r="C64" s="8" t="s">
        <v>6</v>
      </c>
      <c r="D64" s="9">
        <v>45491</v>
      </c>
      <c r="E64" s="7" t="s">
        <v>46</v>
      </c>
      <c r="F64" s="7" t="s">
        <v>23</v>
      </c>
      <c r="G64" s="7">
        <v>9</v>
      </c>
      <c r="H64" s="7" t="s">
        <v>65</v>
      </c>
      <c r="I64" s="24">
        <f>_xlfn.XLOOKUP(F64,'Part code'!A:A,'Part code'!E:E)/_xlfn.XLOOKUP(F64,'Part code'!A:A,'Part code'!C:C)</f>
        <v>25</v>
      </c>
      <c r="J64" s="25">
        <f t="shared" si="0"/>
        <v>225</v>
      </c>
      <c r="K64" s="7">
        <v>0</v>
      </c>
      <c r="L64" s="7">
        <v>0</v>
      </c>
    </row>
    <row r="65" spans="1:12" ht="12.75">
      <c r="A65" s="7">
        <v>64</v>
      </c>
      <c r="B65" s="7" t="s">
        <v>3</v>
      </c>
      <c r="C65" s="10" t="s">
        <v>2</v>
      </c>
      <c r="D65" s="9">
        <v>45491</v>
      </c>
      <c r="E65" s="7" t="s">
        <v>47</v>
      </c>
      <c r="F65" s="7" t="s">
        <v>23</v>
      </c>
      <c r="G65" s="7">
        <v>9</v>
      </c>
      <c r="H65" s="7" t="s">
        <v>66</v>
      </c>
      <c r="I65" s="24">
        <f>_xlfn.XLOOKUP(F65,'Part code'!A:A,'Part code'!E:E)/_xlfn.XLOOKUP(F65,'Part code'!A:A,'Part code'!C:C)</f>
        <v>25</v>
      </c>
      <c r="J65" s="25">
        <f t="shared" si="0"/>
        <v>225</v>
      </c>
      <c r="K65" s="7">
        <v>0</v>
      </c>
      <c r="L65" s="7">
        <v>0</v>
      </c>
    </row>
    <row r="66" spans="1:12" ht="12.75">
      <c r="A66" s="7">
        <v>65</v>
      </c>
      <c r="B66" s="7" t="s">
        <v>8</v>
      </c>
      <c r="C66" s="8" t="s">
        <v>7</v>
      </c>
      <c r="D66" s="9">
        <v>45491</v>
      </c>
      <c r="E66" s="7" t="s">
        <v>46</v>
      </c>
      <c r="F66" s="7" t="s">
        <v>27</v>
      </c>
      <c r="G66" s="7">
        <v>8</v>
      </c>
      <c r="H66" s="7" t="s">
        <v>67</v>
      </c>
      <c r="I66" s="24">
        <f>_xlfn.XLOOKUP(F66,'Part code'!A:A,'Part code'!E:E)/_xlfn.XLOOKUP(F66,'Part code'!A:A,'Part code'!C:C)</f>
        <v>22.222222222222221</v>
      </c>
      <c r="J66" s="25">
        <f t="shared" si="0"/>
        <v>177.77777777777777</v>
      </c>
      <c r="K66" s="7">
        <v>1</v>
      </c>
      <c r="L66" s="7">
        <v>0</v>
      </c>
    </row>
    <row r="67" spans="1:12" ht="12.75">
      <c r="A67" s="7">
        <v>66</v>
      </c>
      <c r="B67" s="7" t="s">
        <v>14</v>
      </c>
      <c r="C67" s="10" t="s">
        <v>17</v>
      </c>
      <c r="D67" s="9">
        <v>45491</v>
      </c>
      <c r="E67" s="7" t="s">
        <v>47</v>
      </c>
      <c r="F67" s="7" t="s">
        <v>31</v>
      </c>
      <c r="G67" s="7">
        <v>45</v>
      </c>
      <c r="H67" s="7" t="s">
        <v>55</v>
      </c>
      <c r="I67" s="24">
        <f>_xlfn.XLOOKUP(F67,'Part code'!A:A,'Part code'!E:E)/_xlfn.XLOOKUP(F67,'Part code'!A:A,'Part code'!C:C)</f>
        <v>17.27272727272727</v>
      </c>
      <c r="J67" s="25">
        <f t="shared" ref="J67:J101" si="1">G67*I67</f>
        <v>777.27272727272714</v>
      </c>
      <c r="K67" s="7">
        <v>1</v>
      </c>
      <c r="L67" s="7">
        <v>0</v>
      </c>
    </row>
    <row r="68" spans="1:12" ht="12.75">
      <c r="A68" s="7">
        <v>67</v>
      </c>
      <c r="B68" s="7" t="s">
        <v>8</v>
      </c>
      <c r="C68" s="8" t="s">
        <v>7</v>
      </c>
      <c r="D68" s="9">
        <v>45492</v>
      </c>
      <c r="E68" s="7" t="s">
        <v>46</v>
      </c>
      <c r="F68" s="7" t="s">
        <v>29</v>
      </c>
      <c r="G68" s="7">
        <v>25</v>
      </c>
      <c r="H68" s="7" t="s">
        <v>56</v>
      </c>
      <c r="I68" s="24">
        <f>_xlfn.XLOOKUP(F68,'Part code'!A:A,'Part code'!E:E)/_xlfn.XLOOKUP(F68,'Part code'!A:A,'Part code'!C:C)</f>
        <v>15.789473684210527</v>
      </c>
      <c r="J68" s="25">
        <f t="shared" si="1"/>
        <v>394.73684210526318</v>
      </c>
      <c r="K68" s="7">
        <v>0</v>
      </c>
      <c r="L68" s="7">
        <v>0</v>
      </c>
    </row>
    <row r="69" spans="1:12" ht="12.75">
      <c r="A69" s="7">
        <v>68</v>
      </c>
      <c r="B69" s="7" t="s">
        <v>3</v>
      </c>
      <c r="C69" s="10" t="s">
        <v>4</v>
      </c>
      <c r="D69" s="9">
        <v>45492</v>
      </c>
      <c r="E69" s="7" t="s">
        <v>47</v>
      </c>
      <c r="F69" s="7" t="s">
        <v>25</v>
      </c>
      <c r="G69" s="7">
        <v>39</v>
      </c>
      <c r="H69" s="7" t="s">
        <v>57</v>
      </c>
      <c r="I69" s="24">
        <f>_xlfn.XLOOKUP(F69,'Part code'!A:A,'Part code'!E:E)/_xlfn.XLOOKUP(F69,'Part code'!A:A,'Part code'!C:C)</f>
        <v>30</v>
      </c>
      <c r="J69" s="25">
        <f t="shared" si="1"/>
        <v>1170</v>
      </c>
      <c r="K69" s="7">
        <v>0</v>
      </c>
      <c r="L69" s="7">
        <v>0</v>
      </c>
    </row>
    <row r="70" spans="1:12" ht="12.75">
      <c r="A70" s="7">
        <v>69</v>
      </c>
      <c r="B70" s="7" t="s">
        <v>14</v>
      </c>
      <c r="C70" s="8" t="s">
        <v>15</v>
      </c>
      <c r="D70" s="9">
        <v>45492</v>
      </c>
      <c r="E70" s="7" t="s">
        <v>46</v>
      </c>
      <c r="F70" s="7" t="s">
        <v>31</v>
      </c>
      <c r="G70" s="7">
        <v>22</v>
      </c>
      <c r="H70" s="7" t="s">
        <v>58</v>
      </c>
      <c r="I70" s="24">
        <f>_xlfn.XLOOKUP(F70,'Part code'!A:A,'Part code'!E:E)/_xlfn.XLOOKUP(F70,'Part code'!A:A,'Part code'!C:C)</f>
        <v>17.27272727272727</v>
      </c>
      <c r="J70" s="25">
        <f t="shared" si="1"/>
        <v>379.99999999999994</v>
      </c>
      <c r="K70" s="7">
        <v>0</v>
      </c>
      <c r="L70" s="7">
        <v>0</v>
      </c>
    </row>
    <row r="71" spans="1:12" ht="12.75">
      <c r="A71" s="7">
        <v>70</v>
      </c>
      <c r="B71" s="7" t="s">
        <v>3</v>
      </c>
      <c r="C71" s="10" t="s">
        <v>5</v>
      </c>
      <c r="D71" s="9">
        <v>45492</v>
      </c>
      <c r="E71" s="7" t="s">
        <v>47</v>
      </c>
      <c r="F71" s="7" t="s">
        <v>23</v>
      </c>
      <c r="G71" s="7">
        <v>14</v>
      </c>
      <c r="H71" s="7" t="s">
        <v>59</v>
      </c>
      <c r="I71" s="24">
        <f>_xlfn.XLOOKUP(F71,'Part code'!A:A,'Part code'!E:E)/_xlfn.XLOOKUP(F71,'Part code'!A:A,'Part code'!C:C)</f>
        <v>25</v>
      </c>
      <c r="J71" s="25">
        <f t="shared" si="1"/>
        <v>350</v>
      </c>
      <c r="K71" s="7">
        <v>0</v>
      </c>
      <c r="L71" s="7">
        <v>0</v>
      </c>
    </row>
    <row r="72" spans="1:12" ht="12.75">
      <c r="A72" s="7">
        <v>71</v>
      </c>
      <c r="B72" s="7" t="s">
        <v>14</v>
      </c>
      <c r="C72" s="8" t="s">
        <v>15</v>
      </c>
      <c r="D72" s="9">
        <v>45495</v>
      </c>
      <c r="E72" s="7" t="s">
        <v>46</v>
      </c>
      <c r="F72" s="7" t="s">
        <v>33</v>
      </c>
      <c r="G72" s="7">
        <v>1</v>
      </c>
      <c r="H72" s="7" t="s">
        <v>60</v>
      </c>
      <c r="I72" s="24">
        <f>_xlfn.XLOOKUP(F72,'Part code'!A:A,'Part code'!E:E)/_xlfn.XLOOKUP(F72,'Part code'!A:A,'Part code'!C:C)</f>
        <v>17.5</v>
      </c>
      <c r="J72" s="25">
        <f t="shared" si="1"/>
        <v>17.5</v>
      </c>
      <c r="K72" s="7">
        <v>0</v>
      </c>
      <c r="L72" s="7">
        <v>0</v>
      </c>
    </row>
    <row r="73" spans="1:12" ht="12.75">
      <c r="A73" s="7">
        <v>72</v>
      </c>
      <c r="B73" s="7" t="s">
        <v>8</v>
      </c>
      <c r="C73" s="10" t="s">
        <v>10</v>
      </c>
      <c r="D73" s="9">
        <v>45495</v>
      </c>
      <c r="E73" s="7" t="s">
        <v>47</v>
      </c>
      <c r="F73" s="7" t="s">
        <v>27</v>
      </c>
      <c r="G73" s="7">
        <v>32</v>
      </c>
      <c r="H73" s="7" t="s">
        <v>61</v>
      </c>
      <c r="I73" s="24">
        <f>_xlfn.XLOOKUP(F73,'Part code'!A:A,'Part code'!E:E)/_xlfn.XLOOKUP(F73,'Part code'!A:A,'Part code'!C:C)</f>
        <v>22.222222222222221</v>
      </c>
      <c r="J73" s="25">
        <f t="shared" si="1"/>
        <v>711.11111111111109</v>
      </c>
      <c r="K73" s="7">
        <v>0</v>
      </c>
      <c r="L73" s="7">
        <v>0</v>
      </c>
    </row>
    <row r="74" spans="1:12" ht="12.75">
      <c r="A74" s="7">
        <v>73</v>
      </c>
      <c r="B74" s="7" t="s">
        <v>8</v>
      </c>
      <c r="C74" s="8" t="s">
        <v>11</v>
      </c>
      <c r="D74" s="9">
        <v>45495</v>
      </c>
      <c r="E74" s="7" t="s">
        <v>46</v>
      </c>
      <c r="F74" s="7" t="s">
        <v>27</v>
      </c>
      <c r="G74" s="7">
        <v>8</v>
      </c>
      <c r="H74" s="7" t="s">
        <v>62</v>
      </c>
      <c r="I74" s="24">
        <f>_xlfn.XLOOKUP(F74,'Part code'!A:A,'Part code'!E:E)/_xlfn.XLOOKUP(F74,'Part code'!A:A,'Part code'!C:C)</f>
        <v>22.222222222222221</v>
      </c>
      <c r="J74" s="25">
        <f t="shared" si="1"/>
        <v>177.77777777777777</v>
      </c>
      <c r="K74" s="7">
        <v>0</v>
      </c>
      <c r="L74" s="7">
        <v>0</v>
      </c>
    </row>
    <row r="75" spans="1:12" ht="12.75">
      <c r="A75" s="7">
        <v>74</v>
      </c>
      <c r="B75" s="7" t="s">
        <v>3</v>
      </c>
      <c r="C75" s="10" t="s">
        <v>6</v>
      </c>
      <c r="D75" s="9">
        <v>45495</v>
      </c>
      <c r="E75" s="7" t="s">
        <v>47</v>
      </c>
      <c r="F75" s="7" t="s">
        <v>23</v>
      </c>
      <c r="G75" s="7">
        <v>19</v>
      </c>
      <c r="H75" s="7" t="s">
        <v>63</v>
      </c>
      <c r="I75" s="24">
        <f>_xlfn.XLOOKUP(F75,'Part code'!A:A,'Part code'!E:E)/_xlfn.XLOOKUP(F75,'Part code'!A:A,'Part code'!C:C)</f>
        <v>25</v>
      </c>
      <c r="J75" s="25">
        <f t="shared" si="1"/>
        <v>475</v>
      </c>
      <c r="K75" s="7">
        <v>0</v>
      </c>
      <c r="L75" s="7">
        <v>0</v>
      </c>
    </row>
    <row r="76" spans="1:12" ht="12.75">
      <c r="A76" s="7">
        <v>75</v>
      </c>
      <c r="B76" s="7" t="s">
        <v>14</v>
      </c>
      <c r="C76" s="8" t="s">
        <v>16</v>
      </c>
      <c r="D76" s="9">
        <v>45496</v>
      </c>
      <c r="E76" s="7" t="s">
        <v>46</v>
      </c>
      <c r="F76" s="7" t="s">
        <v>33</v>
      </c>
      <c r="G76" s="7">
        <v>9</v>
      </c>
      <c r="H76" s="7" t="s">
        <v>64</v>
      </c>
      <c r="I76" s="24">
        <f>_xlfn.XLOOKUP(F76,'Part code'!A:A,'Part code'!E:E)/_xlfn.XLOOKUP(F76,'Part code'!A:A,'Part code'!C:C)</f>
        <v>17.5</v>
      </c>
      <c r="J76" s="25">
        <f t="shared" si="1"/>
        <v>157.5</v>
      </c>
      <c r="K76" s="7">
        <v>0</v>
      </c>
      <c r="L76" s="7">
        <v>3</v>
      </c>
    </row>
    <row r="77" spans="1:12" ht="12.75">
      <c r="A77" s="7">
        <v>76</v>
      </c>
      <c r="B77" s="7" t="s">
        <v>14</v>
      </c>
      <c r="C77" s="10" t="s">
        <v>17</v>
      </c>
      <c r="D77" s="9">
        <v>45496</v>
      </c>
      <c r="E77" s="7" t="s">
        <v>47</v>
      </c>
      <c r="F77" s="7" t="s">
        <v>31</v>
      </c>
      <c r="G77" s="7">
        <v>7</v>
      </c>
      <c r="H77" s="7" t="s">
        <v>65</v>
      </c>
      <c r="I77" s="24">
        <f>_xlfn.XLOOKUP(F77,'Part code'!A:A,'Part code'!E:E)/_xlfn.XLOOKUP(F77,'Part code'!A:A,'Part code'!C:C)</f>
        <v>17.27272727272727</v>
      </c>
      <c r="J77" s="25">
        <f t="shared" si="1"/>
        <v>120.90909090909089</v>
      </c>
      <c r="K77" s="7">
        <v>0</v>
      </c>
      <c r="L77" s="7">
        <v>0</v>
      </c>
    </row>
    <row r="78" spans="1:12" ht="12.75">
      <c r="A78" s="7">
        <v>77</v>
      </c>
      <c r="B78" s="7" t="s">
        <v>3</v>
      </c>
      <c r="C78" s="8" t="s">
        <v>2</v>
      </c>
      <c r="D78" s="9">
        <v>45496</v>
      </c>
      <c r="E78" s="7" t="s">
        <v>46</v>
      </c>
      <c r="F78" s="7" t="s">
        <v>23</v>
      </c>
      <c r="G78" s="7">
        <v>11</v>
      </c>
      <c r="H78" s="7" t="s">
        <v>66</v>
      </c>
      <c r="I78" s="24">
        <f>_xlfn.XLOOKUP(F78,'Part code'!A:A,'Part code'!E:E)/_xlfn.XLOOKUP(F78,'Part code'!A:A,'Part code'!C:C)</f>
        <v>25</v>
      </c>
      <c r="J78" s="25">
        <f t="shared" si="1"/>
        <v>275</v>
      </c>
      <c r="K78" s="7">
        <v>0</v>
      </c>
      <c r="L78" s="7">
        <v>0</v>
      </c>
    </row>
    <row r="79" spans="1:12" ht="12.75">
      <c r="A79" s="7">
        <v>78</v>
      </c>
      <c r="B79" s="7" t="s">
        <v>8</v>
      </c>
      <c r="C79" s="10" t="s">
        <v>9</v>
      </c>
      <c r="D79" s="9">
        <v>45496</v>
      </c>
      <c r="E79" s="7" t="s">
        <v>47</v>
      </c>
      <c r="F79" s="7" t="s">
        <v>27</v>
      </c>
      <c r="G79" s="7">
        <v>6</v>
      </c>
      <c r="H79" s="7" t="s">
        <v>67</v>
      </c>
      <c r="I79" s="24">
        <f>_xlfn.XLOOKUP(F79,'Part code'!A:A,'Part code'!E:E)/_xlfn.XLOOKUP(F79,'Part code'!A:A,'Part code'!C:C)</f>
        <v>22.222222222222221</v>
      </c>
      <c r="J79" s="25">
        <f t="shared" si="1"/>
        <v>133.33333333333331</v>
      </c>
      <c r="K79" s="7">
        <v>0</v>
      </c>
      <c r="L79" s="7">
        <v>2</v>
      </c>
    </row>
    <row r="80" spans="1:12" ht="12.75">
      <c r="A80" s="7">
        <v>79</v>
      </c>
      <c r="B80" s="7" t="s">
        <v>3</v>
      </c>
      <c r="C80" s="8" t="s">
        <v>4</v>
      </c>
      <c r="D80" s="9">
        <v>45497</v>
      </c>
      <c r="E80" s="7" t="s">
        <v>46</v>
      </c>
      <c r="F80" s="7" t="s">
        <v>25</v>
      </c>
      <c r="G80" s="7">
        <v>70</v>
      </c>
      <c r="H80" s="7" t="s">
        <v>55</v>
      </c>
      <c r="I80" s="24">
        <f>_xlfn.XLOOKUP(F80,'Part code'!A:A,'Part code'!E:E)/_xlfn.XLOOKUP(F80,'Part code'!A:A,'Part code'!C:C)</f>
        <v>30</v>
      </c>
      <c r="J80" s="25">
        <f t="shared" si="1"/>
        <v>2100</v>
      </c>
      <c r="K80" s="7">
        <v>0</v>
      </c>
      <c r="L80" s="7">
        <v>0</v>
      </c>
    </row>
    <row r="81" spans="1:12" ht="12.75">
      <c r="A81" s="7">
        <v>80</v>
      </c>
      <c r="B81" s="7" t="s">
        <v>14</v>
      </c>
      <c r="C81" s="10" t="s">
        <v>13</v>
      </c>
      <c r="D81" s="9">
        <v>45497</v>
      </c>
      <c r="E81" s="7" t="s">
        <v>47</v>
      </c>
      <c r="F81" s="7" t="s">
        <v>31</v>
      </c>
      <c r="G81" s="7">
        <v>15</v>
      </c>
      <c r="H81" s="7" t="s">
        <v>56</v>
      </c>
      <c r="I81" s="24">
        <f>_xlfn.XLOOKUP(F81,'Part code'!A:A,'Part code'!E:E)/_xlfn.XLOOKUP(F81,'Part code'!A:A,'Part code'!C:C)</f>
        <v>17.27272727272727</v>
      </c>
      <c r="J81" s="25">
        <f t="shared" si="1"/>
        <v>259.09090909090907</v>
      </c>
      <c r="K81" s="7">
        <v>0</v>
      </c>
      <c r="L81" s="7">
        <v>0</v>
      </c>
    </row>
    <row r="82" spans="1:12" ht="12.75">
      <c r="A82" s="7">
        <v>81</v>
      </c>
      <c r="B82" s="7" t="s">
        <v>14</v>
      </c>
      <c r="C82" s="8" t="s">
        <v>15</v>
      </c>
      <c r="D82" s="9">
        <v>45497</v>
      </c>
      <c r="E82" s="7" t="s">
        <v>46</v>
      </c>
      <c r="F82" s="7" t="s">
        <v>33</v>
      </c>
      <c r="G82" s="7">
        <v>46</v>
      </c>
      <c r="H82" s="7" t="s">
        <v>57</v>
      </c>
      <c r="I82" s="24">
        <f>_xlfn.XLOOKUP(F82,'Part code'!A:A,'Part code'!E:E)/_xlfn.XLOOKUP(F82,'Part code'!A:A,'Part code'!C:C)</f>
        <v>17.5</v>
      </c>
      <c r="J82" s="25">
        <f t="shared" si="1"/>
        <v>805</v>
      </c>
      <c r="K82" s="7">
        <v>0</v>
      </c>
      <c r="L82" s="7">
        <v>0</v>
      </c>
    </row>
    <row r="83" spans="1:12" ht="12.75">
      <c r="A83" s="7">
        <v>82</v>
      </c>
      <c r="B83" s="7" t="s">
        <v>3</v>
      </c>
      <c r="C83" s="10" t="s">
        <v>5</v>
      </c>
      <c r="D83" s="9">
        <v>45497</v>
      </c>
      <c r="E83" s="7" t="s">
        <v>47</v>
      </c>
      <c r="F83" s="7" t="s">
        <v>25</v>
      </c>
      <c r="G83" s="7">
        <v>19</v>
      </c>
      <c r="H83" s="7" t="s">
        <v>58</v>
      </c>
      <c r="I83" s="24">
        <f>_xlfn.XLOOKUP(F83,'Part code'!A:A,'Part code'!E:E)/_xlfn.XLOOKUP(F83,'Part code'!A:A,'Part code'!C:C)</f>
        <v>30</v>
      </c>
      <c r="J83" s="25">
        <f t="shared" si="1"/>
        <v>570</v>
      </c>
      <c r="K83" s="7">
        <v>0</v>
      </c>
      <c r="L83" s="7">
        <v>0</v>
      </c>
    </row>
    <row r="84" spans="1:12" ht="12.75">
      <c r="A84" s="7">
        <v>83</v>
      </c>
      <c r="B84" s="7" t="s">
        <v>3</v>
      </c>
      <c r="C84" s="8" t="s">
        <v>6</v>
      </c>
      <c r="D84" s="9">
        <v>45497</v>
      </c>
      <c r="E84" s="7" t="s">
        <v>46</v>
      </c>
      <c r="F84" s="7" t="s">
        <v>25</v>
      </c>
      <c r="G84" s="7">
        <v>17</v>
      </c>
      <c r="H84" s="7" t="s">
        <v>59</v>
      </c>
      <c r="I84" s="24">
        <f>_xlfn.XLOOKUP(F84,'Part code'!A:A,'Part code'!E:E)/_xlfn.XLOOKUP(F84,'Part code'!A:A,'Part code'!C:C)</f>
        <v>30</v>
      </c>
      <c r="J84" s="25">
        <f t="shared" si="1"/>
        <v>510</v>
      </c>
      <c r="K84" s="7">
        <v>0</v>
      </c>
      <c r="L84" s="7">
        <v>0</v>
      </c>
    </row>
    <row r="85" spans="1:12" ht="12.75">
      <c r="A85" s="7">
        <v>84</v>
      </c>
      <c r="B85" s="7" t="s">
        <v>8</v>
      </c>
      <c r="C85" s="10" t="s">
        <v>7</v>
      </c>
      <c r="D85" s="9">
        <v>45498</v>
      </c>
      <c r="E85" s="7" t="s">
        <v>47</v>
      </c>
      <c r="F85" s="7" t="s">
        <v>29</v>
      </c>
      <c r="G85" s="7">
        <v>6</v>
      </c>
      <c r="H85" s="7" t="s">
        <v>60</v>
      </c>
      <c r="I85" s="24">
        <f>_xlfn.XLOOKUP(F85,'Part code'!A:A,'Part code'!E:E)/_xlfn.XLOOKUP(F85,'Part code'!A:A,'Part code'!C:C)</f>
        <v>15.789473684210527</v>
      </c>
      <c r="J85" s="25">
        <f t="shared" si="1"/>
        <v>94.736842105263165</v>
      </c>
      <c r="K85" s="7">
        <v>0</v>
      </c>
      <c r="L85" s="7">
        <v>0</v>
      </c>
    </row>
    <row r="86" spans="1:12" ht="12.75">
      <c r="A86" s="7">
        <v>85</v>
      </c>
      <c r="B86" s="7" t="s">
        <v>14</v>
      </c>
      <c r="C86" s="8" t="s">
        <v>16</v>
      </c>
      <c r="D86" s="9">
        <v>45498</v>
      </c>
      <c r="E86" s="7" t="s">
        <v>46</v>
      </c>
      <c r="F86" s="7" t="s">
        <v>31</v>
      </c>
      <c r="G86" s="7">
        <v>76</v>
      </c>
      <c r="H86" s="7" t="s">
        <v>61</v>
      </c>
      <c r="I86" s="24">
        <f>_xlfn.XLOOKUP(F86,'Part code'!A:A,'Part code'!E:E)/_xlfn.XLOOKUP(F86,'Part code'!A:A,'Part code'!C:C)</f>
        <v>17.27272727272727</v>
      </c>
      <c r="J86" s="25">
        <f t="shared" si="1"/>
        <v>1312.7272727272725</v>
      </c>
      <c r="K86" s="7">
        <v>0</v>
      </c>
      <c r="L86" s="7">
        <v>0</v>
      </c>
    </row>
    <row r="87" spans="1:12" ht="12.75">
      <c r="A87" s="7">
        <v>86</v>
      </c>
      <c r="B87" s="7" t="s">
        <v>8</v>
      </c>
      <c r="C87" s="10" t="s">
        <v>9</v>
      </c>
      <c r="D87" s="9">
        <v>45498</v>
      </c>
      <c r="E87" s="7" t="s">
        <v>47</v>
      </c>
      <c r="F87" s="7" t="s">
        <v>27</v>
      </c>
      <c r="G87" s="7">
        <v>9</v>
      </c>
      <c r="H87" s="7" t="s">
        <v>62</v>
      </c>
      <c r="I87" s="24">
        <f>_xlfn.XLOOKUP(F87,'Part code'!A:A,'Part code'!E:E)/_xlfn.XLOOKUP(F87,'Part code'!A:A,'Part code'!C:C)</f>
        <v>22.222222222222221</v>
      </c>
      <c r="J87" s="25">
        <f t="shared" si="1"/>
        <v>200</v>
      </c>
      <c r="K87" s="7">
        <v>0</v>
      </c>
      <c r="L87" s="7">
        <v>0</v>
      </c>
    </row>
    <row r="88" spans="1:12" ht="12.75">
      <c r="A88" s="7">
        <v>87</v>
      </c>
      <c r="B88" s="7" t="s">
        <v>3</v>
      </c>
      <c r="C88" s="8" t="s">
        <v>2</v>
      </c>
      <c r="D88" s="9">
        <v>45499</v>
      </c>
      <c r="E88" s="7" t="s">
        <v>46</v>
      </c>
      <c r="F88" s="7" t="s">
        <v>23</v>
      </c>
      <c r="G88" s="7">
        <v>11</v>
      </c>
      <c r="H88" s="7" t="s">
        <v>63</v>
      </c>
      <c r="I88" s="24">
        <f>_xlfn.XLOOKUP(F88,'Part code'!A:A,'Part code'!E:E)/_xlfn.XLOOKUP(F88,'Part code'!A:A,'Part code'!C:C)</f>
        <v>25</v>
      </c>
      <c r="J88" s="25">
        <f t="shared" si="1"/>
        <v>275</v>
      </c>
      <c r="K88" s="7">
        <v>0</v>
      </c>
      <c r="L88" s="7">
        <v>0</v>
      </c>
    </row>
    <row r="89" spans="1:12" ht="12.75">
      <c r="A89" s="7">
        <v>88</v>
      </c>
      <c r="B89" s="7" t="s">
        <v>14</v>
      </c>
      <c r="C89" s="10" t="s">
        <v>15</v>
      </c>
      <c r="D89" s="9">
        <v>45499</v>
      </c>
      <c r="E89" s="7" t="s">
        <v>47</v>
      </c>
      <c r="F89" s="7" t="s">
        <v>33</v>
      </c>
      <c r="G89" s="7">
        <v>5</v>
      </c>
      <c r="H89" s="7" t="s">
        <v>64</v>
      </c>
      <c r="I89" s="24">
        <f>_xlfn.XLOOKUP(F89,'Part code'!A:A,'Part code'!E:E)/_xlfn.XLOOKUP(F89,'Part code'!A:A,'Part code'!C:C)</f>
        <v>17.5</v>
      </c>
      <c r="J89" s="25">
        <f t="shared" si="1"/>
        <v>87.5</v>
      </c>
      <c r="K89" s="7">
        <v>0</v>
      </c>
      <c r="L89" s="7">
        <v>0</v>
      </c>
    </row>
    <row r="90" spans="1:12" ht="12.75">
      <c r="A90" s="7">
        <v>89</v>
      </c>
      <c r="B90" s="7" t="s">
        <v>3</v>
      </c>
      <c r="C90" s="8" t="s">
        <v>4</v>
      </c>
      <c r="D90" s="9">
        <v>45499</v>
      </c>
      <c r="E90" s="7" t="s">
        <v>46</v>
      </c>
      <c r="F90" s="7" t="s">
        <v>25</v>
      </c>
      <c r="G90" s="7">
        <v>8</v>
      </c>
      <c r="H90" s="7" t="s">
        <v>65</v>
      </c>
      <c r="I90" s="24">
        <f>_xlfn.XLOOKUP(F90,'Part code'!A:A,'Part code'!E:E)/_xlfn.XLOOKUP(F90,'Part code'!A:A,'Part code'!C:C)</f>
        <v>30</v>
      </c>
      <c r="J90" s="25">
        <f t="shared" si="1"/>
        <v>240</v>
      </c>
      <c r="K90" s="7">
        <v>0</v>
      </c>
      <c r="L90" s="7">
        <v>0</v>
      </c>
    </row>
    <row r="91" spans="1:12" ht="12.75">
      <c r="A91" s="7">
        <v>90</v>
      </c>
      <c r="B91" s="7" t="s">
        <v>14</v>
      </c>
      <c r="C91" s="10" t="s">
        <v>15</v>
      </c>
      <c r="D91" s="9">
        <v>45503</v>
      </c>
      <c r="E91" s="7" t="s">
        <v>47</v>
      </c>
      <c r="F91" s="7" t="s">
        <v>31</v>
      </c>
      <c r="G91" s="7">
        <v>8</v>
      </c>
      <c r="H91" s="7" t="s">
        <v>66</v>
      </c>
      <c r="I91" s="24">
        <f>_xlfn.XLOOKUP(F91,'Part code'!A:A,'Part code'!E:E)/_xlfn.XLOOKUP(F91,'Part code'!A:A,'Part code'!C:C)</f>
        <v>17.27272727272727</v>
      </c>
      <c r="J91" s="25">
        <f t="shared" si="1"/>
        <v>138.18181818181816</v>
      </c>
      <c r="K91" s="7">
        <v>0</v>
      </c>
      <c r="L91" s="7">
        <v>0</v>
      </c>
    </row>
    <row r="92" spans="1:12" ht="12.75">
      <c r="A92" s="7">
        <v>91</v>
      </c>
      <c r="B92" s="7" t="s">
        <v>8</v>
      </c>
      <c r="C92" s="8" t="s">
        <v>10</v>
      </c>
      <c r="D92" s="9">
        <v>45503</v>
      </c>
      <c r="E92" s="7" t="s">
        <v>46</v>
      </c>
      <c r="F92" s="7" t="s">
        <v>29</v>
      </c>
      <c r="G92" s="7">
        <v>9</v>
      </c>
      <c r="H92" s="7" t="s">
        <v>67</v>
      </c>
      <c r="I92" s="24">
        <f>_xlfn.XLOOKUP(F92,'Part code'!A:A,'Part code'!E:E)/_xlfn.XLOOKUP(F92,'Part code'!A:A,'Part code'!C:C)</f>
        <v>15.789473684210527</v>
      </c>
      <c r="J92" s="25">
        <f t="shared" si="1"/>
        <v>142.10526315789474</v>
      </c>
      <c r="K92" s="7">
        <v>1</v>
      </c>
      <c r="L92" s="7">
        <v>0</v>
      </c>
    </row>
    <row r="93" spans="1:12" ht="12.75">
      <c r="A93" s="7">
        <v>92</v>
      </c>
      <c r="B93" s="7" t="s">
        <v>8</v>
      </c>
      <c r="C93" s="10" t="s">
        <v>11</v>
      </c>
      <c r="D93" s="9">
        <v>45503</v>
      </c>
      <c r="E93" s="7" t="s">
        <v>47</v>
      </c>
      <c r="F93" s="7" t="s">
        <v>27</v>
      </c>
      <c r="G93" s="7">
        <v>57</v>
      </c>
      <c r="H93" s="7" t="s">
        <v>55</v>
      </c>
      <c r="I93" s="24">
        <f>_xlfn.XLOOKUP(F93,'Part code'!A:A,'Part code'!E:E)/_xlfn.XLOOKUP(F93,'Part code'!A:A,'Part code'!C:C)</f>
        <v>22.222222222222221</v>
      </c>
      <c r="J93" s="25">
        <f t="shared" si="1"/>
        <v>1266.6666666666665</v>
      </c>
      <c r="K93" s="7">
        <v>0</v>
      </c>
      <c r="L93" s="7">
        <v>0</v>
      </c>
    </row>
    <row r="94" spans="1:12" ht="12.75">
      <c r="A94" s="7">
        <v>93</v>
      </c>
      <c r="B94" s="7" t="s">
        <v>3</v>
      </c>
      <c r="C94" s="8" t="s">
        <v>2</v>
      </c>
      <c r="D94" s="9">
        <v>45503</v>
      </c>
      <c r="E94" s="7" t="s">
        <v>46</v>
      </c>
      <c r="F94" s="7" t="s">
        <v>25</v>
      </c>
      <c r="G94" s="7">
        <v>30</v>
      </c>
      <c r="H94" s="7" t="s">
        <v>56</v>
      </c>
      <c r="I94" s="24">
        <f>_xlfn.XLOOKUP(F94,'Part code'!A:A,'Part code'!E:E)/_xlfn.XLOOKUP(F94,'Part code'!A:A,'Part code'!C:C)</f>
        <v>30</v>
      </c>
      <c r="J94" s="25">
        <f t="shared" si="1"/>
        <v>900</v>
      </c>
      <c r="K94" s="7">
        <v>0</v>
      </c>
      <c r="L94" s="7">
        <v>0</v>
      </c>
    </row>
    <row r="95" spans="1:12" ht="12.75">
      <c r="A95" s="7">
        <v>94</v>
      </c>
      <c r="B95" s="7" t="s">
        <v>14</v>
      </c>
      <c r="C95" s="10" t="s">
        <v>16</v>
      </c>
      <c r="D95" s="9">
        <v>45503</v>
      </c>
      <c r="E95" s="7" t="s">
        <v>47</v>
      </c>
      <c r="F95" s="7" t="s">
        <v>31</v>
      </c>
      <c r="G95" s="7">
        <v>50</v>
      </c>
      <c r="H95" s="7" t="s">
        <v>57</v>
      </c>
      <c r="I95" s="24">
        <f>_xlfn.XLOOKUP(F95,'Part code'!A:A,'Part code'!E:E)/_xlfn.XLOOKUP(F95,'Part code'!A:A,'Part code'!C:C)</f>
        <v>17.27272727272727</v>
      </c>
      <c r="J95" s="25">
        <f t="shared" si="1"/>
        <v>863.63636363636351</v>
      </c>
      <c r="K95" s="7">
        <v>0</v>
      </c>
      <c r="L95" s="7">
        <v>0</v>
      </c>
    </row>
    <row r="96" spans="1:12" ht="12.75">
      <c r="A96" s="7">
        <v>95</v>
      </c>
      <c r="B96" s="7" t="s">
        <v>14</v>
      </c>
      <c r="C96" s="8" t="s">
        <v>15</v>
      </c>
      <c r="D96" s="9">
        <v>45504</v>
      </c>
      <c r="E96" s="7" t="s">
        <v>46</v>
      </c>
      <c r="F96" s="7" t="s">
        <v>33</v>
      </c>
      <c r="G96" s="7">
        <v>23</v>
      </c>
      <c r="H96" s="7" t="s">
        <v>58</v>
      </c>
      <c r="I96" s="24">
        <f>_xlfn.XLOOKUP(F96,'Part code'!A:A,'Part code'!E:E)/_xlfn.XLOOKUP(F96,'Part code'!A:A,'Part code'!C:C)</f>
        <v>17.5</v>
      </c>
      <c r="J96" s="25">
        <f t="shared" si="1"/>
        <v>402.5</v>
      </c>
      <c r="K96" s="7">
        <v>0</v>
      </c>
      <c r="L96" s="7">
        <v>0</v>
      </c>
    </row>
    <row r="97" spans="1:12" ht="12.75">
      <c r="A97" s="7">
        <v>96</v>
      </c>
      <c r="B97" s="7" t="s">
        <v>3</v>
      </c>
      <c r="C97" s="10" t="s">
        <v>6</v>
      </c>
      <c r="D97" s="9">
        <v>45504</v>
      </c>
      <c r="E97" s="7" t="s">
        <v>47</v>
      </c>
      <c r="F97" s="7" t="s">
        <v>25</v>
      </c>
      <c r="G97" s="7">
        <v>19</v>
      </c>
      <c r="H97" s="7" t="s">
        <v>59</v>
      </c>
      <c r="I97" s="24">
        <f>_xlfn.XLOOKUP(F97,'Part code'!A:A,'Part code'!E:E)/_xlfn.XLOOKUP(F97,'Part code'!A:A,'Part code'!C:C)</f>
        <v>30</v>
      </c>
      <c r="J97" s="25">
        <f t="shared" si="1"/>
        <v>570</v>
      </c>
      <c r="K97" s="7">
        <v>0</v>
      </c>
      <c r="L97" s="7">
        <v>0</v>
      </c>
    </row>
    <row r="98" spans="1:12" ht="12.75">
      <c r="A98" s="7">
        <v>97</v>
      </c>
      <c r="B98" s="7" t="s">
        <v>8</v>
      </c>
      <c r="C98" s="8" t="s">
        <v>12</v>
      </c>
      <c r="D98" s="9">
        <v>45504</v>
      </c>
      <c r="E98" s="7" t="s">
        <v>46</v>
      </c>
      <c r="F98" s="7" t="s">
        <v>29</v>
      </c>
      <c r="G98" s="7">
        <v>7</v>
      </c>
      <c r="H98" s="7" t="s">
        <v>60</v>
      </c>
      <c r="I98" s="24">
        <f>_xlfn.XLOOKUP(F98,'Part code'!A:A,'Part code'!E:E)/_xlfn.XLOOKUP(F98,'Part code'!A:A,'Part code'!C:C)</f>
        <v>15.789473684210527</v>
      </c>
      <c r="J98" s="25">
        <f t="shared" si="1"/>
        <v>110.5263157894737</v>
      </c>
      <c r="K98" s="7">
        <v>0</v>
      </c>
      <c r="L98" s="7">
        <v>0</v>
      </c>
    </row>
    <row r="99" spans="1:12" ht="12.75">
      <c r="A99" s="7">
        <v>98</v>
      </c>
      <c r="B99" s="7" t="s">
        <v>3</v>
      </c>
      <c r="C99" s="7" t="s">
        <v>4</v>
      </c>
      <c r="D99" s="9">
        <v>45504</v>
      </c>
      <c r="E99" s="7" t="s">
        <v>47</v>
      </c>
      <c r="F99" s="7" t="s">
        <v>23</v>
      </c>
      <c r="G99" s="7">
        <v>33</v>
      </c>
      <c r="H99" s="7" t="s">
        <v>61</v>
      </c>
      <c r="I99" s="24">
        <f>_xlfn.XLOOKUP(F99,'Part code'!A:A,'Part code'!E:E)/_xlfn.XLOOKUP(F99,'Part code'!A:A,'Part code'!C:C)</f>
        <v>25</v>
      </c>
      <c r="J99" s="25">
        <f t="shared" si="1"/>
        <v>825</v>
      </c>
      <c r="K99" s="7">
        <v>0</v>
      </c>
      <c r="L99" s="7">
        <v>0</v>
      </c>
    </row>
    <row r="100" spans="1:12" ht="12.75">
      <c r="A100" s="7">
        <v>99</v>
      </c>
      <c r="B100" s="7" t="s">
        <v>8</v>
      </c>
      <c r="C100" s="7" t="s">
        <v>10</v>
      </c>
      <c r="D100" s="9">
        <v>45504</v>
      </c>
      <c r="E100" s="7" t="s">
        <v>46</v>
      </c>
      <c r="F100" s="7" t="s">
        <v>29</v>
      </c>
      <c r="G100" s="7">
        <v>10</v>
      </c>
      <c r="H100" s="7" t="s">
        <v>62</v>
      </c>
      <c r="I100" s="24">
        <f>_xlfn.XLOOKUP(F100,'Part code'!A:A,'Part code'!E:E)/_xlfn.XLOOKUP(F100,'Part code'!A:A,'Part code'!C:C)</f>
        <v>15.789473684210527</v>
      </c>
      <c r="J100" s="25">
        <f t="shared" si="1"/>
        <v>157.89473684210526</v>
      </c>
      <c r="K100" s="7">
        <v>0</v>
      </c>
      <c r="L100" s="7">
        <v>0</v>
      </c>
    </row>
    <row r="101" spans="1:12" ht="12.75">
      <c r="A101" s="7">
        <v>100</v>
      </c>
      <c r="B101" s="7" t="s">
        <v>3</v>
      </c>
      <c r="C101" s="7" t="s">
        <v>4</v>
      </c>
      <c r="D101" s="9">
        <v>45504</v>
      </c>
      <c r="E101" s="7" t="s">
        <v>46</v>
      </c>
      <c r="F101" s="7" t="s">
        <v>25</v>
      </c>
      <c r="G101" s="7">
        <v>12</v>
      </c>
      <c r="H101" s="7" t="s">
        <v>63</v>
      </c>
      <c r="I101" s="24">
        <f>_xlfn.XLOOKUP(F101,'Part code'!A:A,'Part code'!E:E)/_xlfn.XLOOKUP(F101,'Part code'!A:A,'Part code'!C:C)</f>
        <v>30</v>
      </c>
      <c r="J101" s="25">
        <f t="shared" si="1"/>
        <v>360</v>
      </c>
      <c r="K101" s="7">
        <v>0</v>
      </c>
      <c r="L101" s="7">
        <v>0</v>
      </c>
    </row>
  </sheetData>
  <autoFilter ref="A1:L101" xr:uid="{00000000-0009-0000-0000-000000000000}"/>
  <dataValidations disablePrompts="1" count="3">
    <dataValidation type="list" allowBlank="1" showErrorMessage="1" sqref="H2:H101" xr:uid="{A4434215-AE03-4D33-B132-F9F96844A03F}">
      <formula1>"Breakdown,Planned Changeover,Unplanned Changeover,Setup and adjustments,Tool Replacement,Lack of operators,Lack of material,Micro Stoppages,Speed Reduction,Shortage of operators,Line Blocked,Line Starved,Lack of Quality"</formula1>
    </dataValidation>
    <dataValidation type="list" allowBlank="1" showErrorMessage="1" sqref="B2:B101" xr:uid="{1E7FA151-DDC4-46F3-92FC-E212DB37CE8B}">
      <formula1>"Process A,Process B,Process C"</formula1>
    </dataValidation>
    <dataValidation type="list" allowBlank="1" showErrorMessage="1" sqref="E2:E101" xr:uid="{79FC7BA7-10DC-4EF8-BEE8-9F5CBF98FE06}">
      <formula1>"1st,2nd"</formula1>
    </dataValidation>
  </dataValidation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4"/>
  <sheetViews>
    <sheetView workbookViewId="0">
      <pane ySplit="1" topLeftCell="A3" activePane="bottomLeft" state="frozen"/>
      <selection pane="bottomLeft" activeCell="B3" sqref="B3"/>
    </sheetView>
  </sheetViews>
  <sheetFormatPr defaultColWidth="12.5703125" defaultRowHeight="15.75" customHeight="1"/>
  <cols>
    <col min="1" max="1" width="19.42578125" customWidth="1"/>
    <col min="2" max="2" width="16.140625" customWidth="1"/>
  </cols>
  <sheetData>
    <row r="1" spans="1:2">
      <c r="A1" s="15" t="s">
        <v>68</v>
      </c>
      <c r="B1" s="16" t="s">
        <v>69</v>
      </c>
    </row>
    <row r="2" spans="1:2">
      <c r="A2" s="17" t="s">
        <v>55</v>
      </c>
      <c r="B2" s="18" t="s">
        <v>70</v>
      </c>
    </row>
    <row r="3" spans="1:2">
      <c r="A3" s="19" t="s">
        <v>56</v>
      </c>
      <c r="B3" s="20" t="s">
        <v>70</v>
      </c>
    </row>
    <row r="4" spans="1:2">
      <c r="A4" s="17" t="s">
        <v>57</v>
      </c>
      <c r="B4" s="18" t="s">
        <v>70</v>
      </c>
    </row>
    <row r="5" spans="1:2">
      <c r="A5" s="19" t="s">
        <v>58</v>
      </c>
      <c r="B5" s="20" t="s">
        <v>70</v>
      </c>
    </row>
    <row r="6" spans="1:2">
      <c r="A6" s="17" t="s">
        <v>59</v>
      </c>
      <c r="B6" s="18" t="s">
        <v>70</v>
      </c>
    </row>
    <row r="7" spans="1:2">
      <c r="A7" s="19" t="s">
        <v>60</v>
      </c>
      <c r="B7" s="20" t="s">
        <v>70</v>
      </c>
    </row>
    <row r="8" spans="1:2">
      <c r="A8" s="17" t="s">
        <v>61</v>
      </c>
      <c r="B8" s="18" t="s">
        <v>70</v>
      </c>
    </row>
    <row r="9" spans="1:2">
      <c r="A9" s="19" t="s">
        <v>62</v>
      </c>
      <c r="B9" s="20" t="s">
        <v>71</v>
      </c>
    </row>
    <row r="10" spans="1:2">
      <c r="A10" s="17" t="s">
        <v>63</v>
      </c>
      <c r="B10" s="18" t="s">
        <v>71</v>
      </c>
    </row>
    <row r="11" spans="1:2">
      <c r="A11" s="19" t="s">
        <v>64</v>
      </c>
      <c r="B11" s="20" t="s">
        <v>71</v>
      </c>
    </row>
    <row r="12" spans="1:2">
      <c r="A12" s="17" t="s">
        <v>65</v>
      </c>
      <c r="B12" s="18" t="s">
        <v>71</v>
      </c>
    </row>
    <row r="13" spans="1:2">
      <c r="A13" s="19" t="s">
        <v>66</v>
      </c>
      <c r="B13" s="20" t="s">
        <v>71</v>
      </c>
    </row>
    <row r="14" spans="1:2">
      <c r="A14" s="21" t="s">
        <v>67</v>
      </c>
      <c r="B14" s="22" t="s">
        <v>72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2024-08-12T03:12:49Z</dcterms:created>
  <dcterms:modified xsi:type="dcterms:W3CDTF">2024-08-18T20:25:40Z</dcterms:modified>
  <cp:category/>
  <cp:contentStatus/>
</cp:coreProperties>
</file>